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65913564F5406ECE/Documents/"/>
    </mc:Choice>
  </mc:AlternateContent>
  <xr:revisionPtr revIDLastSave="2615" documentId="8_{45946DEF-A00A-46AF-8149-7977F9359BC8}" xr6:coauthVersionLast="47" xr6:coauthVersionMax="47" xr10:uidLastSave="{3F0363AD-4828-443B-BF8A-5D23BA996EAB}"/>
  <bookViews>
    <workbookView xWindow="-110" yWindow="-110" windowWidth="25180" windowHeight="16140" firstSheet="3" activeTab="3" xr2:uid="{C577ED7D-82C8-419B-AAA7-5101AE06A026}"/>
  </bookViews>
  <sheets>
    <sheet name="Braden Data" sheetId="16" r:id="rId1"/>
    <sheet name="Braden Games" sheetId="14" r:id="rId2"/>
    <sheet name="Purdue Data" sheetId="15" r:id="rId3"/>
    <sheet name="Purdue Games" sheetId="1" r:id="rId4"/>
    <sheet name="Combined Data" sheetId="8" r:id="rId5"/>
    <sheet name="Combined Model" sheetId="7" r:id="rId6"/>
    <sheet name="Combined Games" sheetId="6" r:id="rId7"/>
    <sheet name="IU Data" sheetId="5" r:id="rId8"/>
    <sheet name="IU Games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4" l="1"/>
  <c r="E32" i="14"/>
  <c r="E33" i="14"/>
  <c r="A77" i="1" a="1"/>
  <c r="A77" i="1" s="1"/>
  <c r="E33" i="1"/>
  <c r="E32" i="1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A75" i="14" l="1" a="1"/>
  <c r="A75" i="14" s="1"/>
  <c r="A77" i="14" a="1"/>
  <c r="A77" i="14" s="1"/>
  <c r="E45" i="1" l="1"/>
  <c r="E43" i="1"/>
  <c r="E44" i="1"/>
  <c r="E37" i="1"/>
  <c r="E38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2" i="3"/>
  <c r="E2" i="1"/>
  <c r="E49" i="1"/>
  <c r="E5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4" i="1"/>
  <c r="E35" i="1"/>
  <c r="E36" i="1"/>
  <c r="E39" i="1"/>
  <c r="E40" i="1"/>
  <c r="E41" i="1"/>
  <c r="E42" i="1"/>
  <c r="E46" i="1"/>
  <c r="E47" i="1"/>
  <c r="E48" i="1"/>
  <c r="A73" i="7" a="1"/>
  <c r="A73" i="7" s="1"/>
  <c r="A71" i="7" a="1"/>
  <c r="A71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A75" i="1" l="1" a="1"/>
  <c r="A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<sst xmlns="http://schemas.openxmlformats.org/spreadsheetml/2006/main" count="1377" uniqueCount="157">
  <si>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</si>
  <si>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</si>
  <si>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</si>
  <si>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</si>
  <si>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</si>
  <si>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</si>
  <si>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</si>
  <si>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</si>
  <si>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</si>
  <si>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</si>
  <si>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</si>
  <si>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</si>
  <si>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</si>
  <si>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</si>
  <si>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</si>
  <si>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</si>
  <si>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</si>
  <si>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</si>
  <si>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</si>
  <si>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</si>
  <si>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</si>
  <si>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</si>
  <si>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</si>
  <si>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</si>
  <si>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Home Kenpom Rk</t>
  </si>
  <si>
    <t>Away Kenpom Rk</t>
  </si>
  <si>
    <t>Home Net Rating</t>
  </si>
  <si>
    <t>Away Net Rating</t>
  </si>
  <si>
    <t>Home Strength of Schedule</t>
  </si>
  <si>
    <t>Away Strength of Schedule</t>
  </si>
  <si>
    <t>Away Tempo</t>
  </si>
  <si>
    <t>Home Tempo</t>
  </si>
  <si>
    <t>RESIDUAL OUTPUT</t>
  </si>
  <si>
    <t>Observation</t>
  </si>
  <si>
    <t>Predicted Actual Assists</t>
  </si>
  <si>
    <t>Residuals</t>
  </si>
  <si>
    <t>Location</t>
  </si>
  <si>
    <t>Home Team</t>
  </si>
  <si>
    <t>Away Team</t>
  </si>
  <si>
    <t>Actual Assists</t>
  </si>
  <si>
    <t>Predicted Assists</t>
  </si>
  <si>
    <t>x</t>
  </si>
  <si>
    <t>y</t>
  </si>
  <si>
    <t>Mackey Arena, West Lafayette, IN</t>
  </si>
  <si>
    <t>Purdue</t>
  </si>
  <si>
    <t>Northern Kentucky</t>
  </si>
  <si>
    <t>Yale</t>
  </si>
  <si>
    <t>Alabama</t>
  </si>
  <si>
    <t>Fiserv Forum, Milwaukee, WI</t>
  </si>
  <si>
    <t>Marquette</t>
  </si>
  <si>
    <t>Marshall</t>
  </si>
  <si>
    <t>LionTree Arena, San Diego, CA</t>
  </si>
  <si>
    <t>NC State</t>
  </si>
  <si>
    <t>Ole Miss</t>
  </si>
  <si>
    <t>Bryce Jordan Center, State College, PA</t>
  </si>
  <si>
    <t>Penn State</t>
  </si>
  <si>
    <t>Maryland</t>
  </si>
  <si>
    <t>Gainbridge Fieldhouse, Indianapolis, IN</t>
  </si>
  <si>
    <t>Texas A&amp;M</t>
  </si>
  <si>
    <t>Legacy Arena, Birmingham, AL</t>
  </si>
  <si>
    <t>Auburn</t>
  </si>
  <si>
    <t xml:space="preserve"> Purdue</t>
  </si>
  <si>
    <t>Toledo</t>
  </si>
  <si>
    <t>Williams Arena, Minneapolis, MN</t>
  </si>
  <si>
    <t>Minnesota</t>
  </si>
  <si>
    <t>Northwestern</t>
  </si>
  <si>
    <t>Jersey Mike's Arena, Piscataway, NJ</t>
  </si>
  <si>
    <t>Rutgers</t>
  </si>
  <si>
    <t>Nebraska</t>
  </si>
  <si>
    <t>Alaska Airlines Arena, Seattle, WA</t>
  </si>
  <si>
    <t>Washington</t>
  </si>
  <si>
    <t>Matthew Knight Arena, Eugene, OR</t>
  </si>
  <si>
    <t>Oregon</t>
  </si>
  <si>
    <t>Ohio State</t>
  </si>
  <si>
    <t>Michigan</t>
  </si>
  <si>
    <t>Indiana</t>
  </si>
  <si>
    <t>Carver–Hawkeye Arena, Iowa City, IA</t>
  </si>
  <si>
    <t>Iowa</t>
  </si>
  <si>
    <t>USC</t>
  </si>
  <si>
    <t>Crisler Center, Ann Arbor, MI</t>
  </si>
  <si>
    <t>Wisconsin</t>
  </si>
  <si>
    <t>Breslin Student Events Center, East Lansing, MI</t>
  </si>
  <si>
    <t>Michigan State</t>
  </si>
  <si>
    <t>Simon Skjodt Assembly Hall, Bloomington, IN</t>
  </si>
  <si>
    <t>UCLA</t>
  </si>
  <si>
    <t>State Farm Center, Champaign, IL</t>
  </si>
  <si>
    <t>Illinois</t>
  </si>
  <si>
    <t>West Lafayette, Ind. (Mackey Arena)</t>
  </si>
  <si>
    <t>Evansville</t>
  </si>
  <si>
    <t>West Lafayette, Ind.</t>
  </si>
  <si>
    <t>Oakland</t>
  </si>
  <si>
    <t>Tuscaloosa, Ala.</t>
  </si>
  <si>
    <t>Akron</t>
  </si>
  <si>
    <t>Nassau, Bahamas</t>
  </si>
  <si>
    <t>Memphis</t>
  </si>
  <si>
    <t>Texas Tech</t>
  </si>
  <si>
    <t>Eastern Illinois</t>
  </si>
  <si>
    <t>Piscataway, N.J.</t>
  </si>
  <si>
    <t>Iowa State</t>
  </si>
  <si>
    <t>Indianapolis, Ind. (Gainbridge Fieldhouse)</t>
  </si>
  <si>
    <t>Kent State</t>
  </si>
  <si>
    <t>Madison, Wis. (Kohl Center)</t>
  </si>
  <si>
    <t>Los Angeles, Calif. (Galen Center)</t>
  </si>
  <si>
    <t>Los Angeles, Calif. (Pauley Pavilion)</t>
  </si>
  <si>
    <t>Bloomington, Ind. (Assembly Hall)</t>
  </si>
  <si>
    <t>College Park, Md. (Xfinity Center)</t>
  </si>
  <si>
    <t>Lincoln, Neb. (Pinnacle Bank Arena)</t>
  </si>
  <si>
    <t>Iowa City, Iowa (Carver-Hawkeye Arena)</t>
  </si>
  <si>
    <t>Columbus, Ohio (Value City Arena)</t>
  </si>
  <si>
    <t>Evanston, Ill. (Welsh-Ryan Arena)</t>
  </si>
  <si>
    <t>Average Model Error (Pts)</t>
  </si>
  <si>
    <t>Standard Deviation</t>
  </si>
  <si>
    <t>Predicted Margin of Victory</t>
  </si>
  <si>
    <t>Margin of Victory</t>
  </si>
  <si>
    <t>South Carolina</t>
  </si>
  <si>
    <t>UNC Greensboro</t>
  </si>
  <si>
    <t>Nassau, Bahamas (Neutral)</t>
  </si>
  <si>
    <t>Louisville</t>
  </si>
  <si>
    <t xml:space="preserve">Gonzaga </t>
  </si>
  <si>
    <t>Providence</t>
  </si>
  <si>
    <t>Sam Houston</t>
  </si>
  <si>
    <t>Miami (OH)</t>
  </si>
  <si>
    <t>Chattanooga</t>
  </si>
  <si>
    <t>Winthrop</t>
  </si>
  <si>
    <t>Philadelphia, Pa. (Neutral)</t>
  </si>
  <si>
    <t>Southern California</t>
  </si>
  <si>
    <t xml:space="preserve">Illinois </t>
  </si>
  <si>
    <t xml:space="preserve">Purdue </t>
  </si>
  <si>
    <t>Madison, Wisc. (Kohl Center)</t>
  </si>
  <si>
    <t xml:space="preserve">Michigan </t>
  </si>
  <si>
    <t>East Lansing, Mich. (Breslin Center)</t>
  </si>
  <si>
    <t>Seattle, Wash. (Neutral)</t>
  </si>
  <si>
    <t>Eugene, Ore. (Neutral)</t>
  </si>
  <si>
    <t>Minneapolis, Minn. (Neutral)</t>
  </si>
  <si>
    <t>Bloomington, Ind.</t>
  </si>
  <si>
    <t>Alabama A&amp;M</t>
  </si>
  <si>
    <t>Chicago, Ill.</t>
  </si>
  <si>
    <t>Milwaukee</t>
  </si>
  <si>
    <t>Incarnate Word</t>
  </si>
  <si>
    <t>Lindenwood</t>
  </si>
  <si>
    <t>Kansas State</t>
  </si>
  <si>
    <t>Bethune-Cookman</t>
  </si>
  <si>
    <t>Minneapolis, Minn.</t>
  </si>
  <si>
    <t>Indianapolis, Ind.</t>
  </si>
  <si>
    <t xml:space="preserve">Predicted Margin of Victory </t>
  </si>
  <si>
    <t xml:space="preserve">Margin of Victory </t>
  </si>
  <si>
    <t>Bloomington, Ind. (Assembly +A31+A2+A2:M31</t>
  </si>
  <si>
    <t>Lexington, Ky.</t>
  </si>
  <si>
    <t>Kentucky</t>
  </si>
  <si>
    <t>Chicago State</t>
  </si>
  <si>
    <t>Siena</t>
  </si>
  <si>
    <t>College Park, Md.</t>
  </si>
  <si>
    <t>East Lansing, Mich.</t>
  </si>
  <si>
    <t>Ann Arbor, Mich.</t>
  </si>
  <si>
    <t>Los Angeles, Calif.</t>
  </si>
  <si>
    <t>Champaign, Ill.</t>
  </si>
  <si>
    <t>Columbus,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</si>
</sst>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0" borderId="0" xfId="0" applyFont="1"/>
    <xf numFmtId="1" fontId="0" fillId="0" borderId="0" xfId="0" applyNumberFormat="1" applyFont="1"/>
    <xf numFmtId="2" fontId="0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vs Actual Margin of Victory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'Braden Games'!$E$1</c:f>
              <c:strCache>
                <c:ptCount val="1"/>
                <c:pt idx="0">
                  <c:v>Predicted Assists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'Braden Games'!$D$2:$D$48</c:f>
              <c:numCache>
                <c:formatCode>0</c:formatCode>
                <c:ptCount val="39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11</c:v>
                </c:pt>
                <c:pt idx="7">
                  <c:v>5</c:v>
                </c:pt>
                <c:pt idx="8">
                  <c:v>10</c:v>
                </c:pt>
                <c:pt idx="9">
                  <c:v>6</c:v>
                </c:pt>
                <c:pt idx="10">
                  <c:v>6</c:v>
                </c:pt>
                <c:pt idx="11">
                  <c:v>12</c:v>
                </c:pt>
                <c:pt idx="12">
                  <c:v>10</c:v>
                </c:pt>
                <c:pt idx="13">
                  <c:v>7</c:v>
                </c:pt>
                <c:pt idx="14">
                  <c:v>14</c:v>
                </c:pt>
                <c:pt idx="15">
                  <c:v>14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10</c:v>
                </c:pt>
                <c:pt idx="20">
                  <c:v>7</c:v>
                </c:pt>
                <c:pt idx="21">
                  <c:v>4</c:v>
                </c:pt>
                <c:pt idx="22">
                  <c:v>13</c:v>
                </c:pt>
                <c:pt idx="23">
                  <c:v>7</c:v>
                </c:pt>
                <c:pt idx="24">
                  <c:v>12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9</c:v>
                </c:pt>
                <c:pt idx="29">
                  <c:v>12</c:v>
                </c:pt>
                <c:pt idx="30">
                  <c:v>11</c:v>
                </c:pt>
                <c:pt idx="31">
                  <c:v>9</c:v>
                </c:pt>
                <c:pt idx="32">
                  <c:v>4</c:v>
                </c:pt>
                <c:pt idx="33">
                  <c:v>10</c:v>
                </c:pt>
                <c:pt idx="34">
                  <c:v>12</c:v>
                </c:pt>
                <c:pt idx="35">
                  <c:v>7</c:v>
                </c:pt>
                <c:pt idx="36">
                  <c:v>10</c:v>
                </c:pt>
                <c:pt idx="37">
                  <c:v>8</c:v>
                </c:pt>
                <c:pt idx="38">
                  <c:v>8</c:v>
                </c:pt>
              </c:numCache>
            </c:numRef>
          </c:xVal>
          <c:yVal>
            <c:numRef>
              <c:f>'Braden Games'!$E$2:$E$48</c:f>
              <c:numCache>
                <c:formatCode>0.0</c:formatCode>
                <c:ptCount val="39"/>
                <c:pt idx="0">
                  <c:v>9.9549664762978249</c:v>
                </c:pt>
                <c:pt idx="1">
                  <c:v>8.7182923080161938</c:v>
                </c:pt>
                <c:pt idx="2">
                  <c:v>11.333906381956426</c:v>
                </c:pt>
                <c:pt idx="3">
                  <c:v>7.2666398246237076</c:v>
                </c:pt>
                <c:pt idx="4">
                  <c:v>9.749665199782596</c:v>
                </c:pt>
                <c:pt idx="5">
                  <c:v>8.3514187163496114</c:v>
                </c:pt>
                <c:pt idx="6">
                  <c:v>7.7593183102288599</c:v>
                </c:pt>
                <c:pt idx="7">
                  <c:v>8.6919331330598766</c:v>
                </c:pt>
                <c:pt idx="8">
                  <c:v>9.4065810737044782</c:v>
                </c:pt>
                <c:pt idx="9">
                  <c:v>8.0607874257301084</c:v>
                </c:pt>
                <c:pt idx="10">
                  <c:v>6.77548302838869</c:v>
                </c:pt>
                <c:pt idx="11">
                  <c:v>9.554095189634447</c:v>
                </c:pt>
                <c:pt idx="12">
                  <c:v>8.1843305893118306</c:v>
                </c:pt>
                <c:pt idx="13">
                  <c:v>8.3630854623472022</c:v>
                </c:pt>
                <c:pt idx="14">
                  <c:v>8.450267712332062</c:v>
                </c:pt>
                <c:pt idx="15">
                  <c:v>9.123512467114212</c:v>
                </c:pt>
                <c:pt idx="16">
                  <c:v>7.579123211345177</c:v>
                </c:pt>
                <c:pt idx="17">
                  <c:v>8.1161398950555999</c:v>
                </c:pt>
                <c:pt idx="18">
                  <c:v>9.0112383947009942</c:v>
                </c:pt>
                <c:pt idx="19">
                  <c:v>9.7757376732011583</c:v>
                </c:pt>
                <c:pt idx="20">
                  <c:v>9.2832988490019748</c:v>
                </c:pt>
                <c:pt idx="21">
                  <c:v>7.8955988505732613</c:v>
                </c:pt>
                <c:pt idx="22">
                  <c:v>9.4219386036958372</c:v>
                </c:pt>
                <c:pt idx="23">
                  <c:v>7.3429150301744084</c:v>
                </c:pt>
                <c:pt idx="24">
                  <c:v>9.0306165722315992</c:v>
                </c:pt>
                <c:pt idx="25">
                  <c:v>7.6130108159968515</c:v>
                </c:pt>
                <c:pt idx="26">
                  <c:v>7.8052848208159524</c:v>
                </c:pt>
                <c:pt idx="27">
                  <c:v>8.190275296249256</c:v>
                </c:pt>
                <c:pt idx="28">
                  <c:v>9.6466175508777692</c:v>
                </c:pt>
                <c:pt idx="29">
                  <c:v>6.9976620127201308</c:v>
                </c:pt>
                <c:pt idx="30">
                  <c:v>9.9919219880437051</c:v>
                </c:pt>
                <c:pt idx="31">
                  <c:v>10.180215168306743</c:v>
                </c:pt>
                <c:pt idx="32">
                  <c:v>6.0734922659431589</c:v>
                </c:pt>
                <c:pt idx="33">
                  <c:v>9.1268694906592014</c:v>
                </c:pt>
                <c:pt idx="34">
                  <c:v>7.8620525604831339</c:v>
                </c:pt>
                <c:pt idx="35">
                  <c:v>8.196336303393652</c:v>
                </c:pt>
                <c:pt idx="36">
                  <c:v>9.9690128312068982</c:v>
                </c:pt>
                <c:pt idx="37">
                  <c:v>8.9473738608134266</c:v>
                </c:pt>
                <c:pt idx="38">
                  <c:v>8.4258550933911369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D-4188-AE38-0EDC43F1813B}"/>
            </c:ext>
          </c:extLst>
        </c:ser>
        <c:ser>
          <c:idx val="1"/>
          <c:order val="1"/>
          <c:tx>
            <c:strRef>
              <c:f>'Braden Games'!$Z$2:$Z$4</c:f>
              <c:strCache>
                <c:ptCount val="3"/>
                <c:pt idx="0">
                  <c:v>65.1</c:v>
                </c:pt>
                <c:pt idx="1">
                  <c:v>0</c:v>
                </c:pt>
                <c:pt idx="2">
                  <c:v>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alpha val="5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'Braden Games'!$Z$2:$Z$4</c:f>
              <c:numCache>
                <c:formatCode>General</c:formatCode>
                <c:ptCount val="3"/>
                <c:pt idx="1">
                  <c:v>0</c:v>
                </c:pt>
                <c:pt idx="2">
                  <c:v>15</c:v>
                </c:pt>
              </c:numCache>
            </c:numRef>
          </c:xVal>
          <c:yVal>
            <c:numRef>
              <c:f>'Braden Games'!$AA$2:$AA$4</c:f>
              <c:numCache>
                <c:formatCode>General</c:formatCode>
                <c:ptCount val="3"/>
                <c:pt idx="1">
                  <c:v>0</c:v>
                </c:pt>
                <c:pt idx="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DD-4188-AE38-0EDC43F18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85407"/>
        <c:axId val="1686782527"/>
      </c:scatterChart>
      <c:valAx>
        <c:axId val="168678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82527"/>
        <c:crosses val="autoZero"/>
        <c:crossBetween val="midCat"/>
      </c:valAx>
      <c:valAx>
        <c:axId val="168678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Margin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8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vs Actual Margin of Victory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'Purdue Games'!$E$1</c:f>
              <c:strCache>
                <c:ptCount val="1"/>
                <c:pt idx="0">
                  <c:v>Predicted Margin of Victory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'Purdue Games'!$D$2:$D$48</c:f>
              <c:numCache>
                <c:formatCode>0</c:formatCode>
                <c:ptCount val="39"/>
                <c:pt idx="0">
                  <c:v>22</c:v>
                </c:pt>
                <c:pt idx="1">
                  <c:v>8</c:v>
                </c:pt>
                <c:pt idx="2">
                  <c:v>9</c:v>
                </c:pt>
                <c:pt idx="3">
                  <c:v>-18</c:v>
                </c:pt>
                <c:pt idx="4">
                  <c:v>35</c:v>
                </c:pt>
                <c:pt idx="5">
                  <c:v>-10</c:v>
                </c:pt>
                <c:pt idx="6">
                  <c:v>-2</c:v>
                </c:pt>
                <c:pt idx="7">
                  <c:v>-11</c:v>
                </c:pt>
                <c:pt idx="8">
                  <c:v>5</c:v>
                </c:pt>
                <c:pt idx="9">
                  <c:v>-4</c:v>
                </c:pt>
                <c:pt idx="10">
                  <c:v>-18</c:v>
                </c:pt>
                <c:pt idx="11">
                  <c:v>19</c:v>
                </c:pt>
                <c:pt idx="12">
                  <c:v>-20</c:v>
                </c:pt>
                <c:pt idx="13">
                  <c:v>18</c:v>
                </c:pt>
                <c:pt idx="14">
                  <c:v>-18</c:v>
                </c:pt>
                <c:pt idx="15">
                  <c:v>36</c:v>
                </c:pt>
                <c:pt idx="16">
                  <c:v>-11</c:v>
                </c:pt>
                <c:pt idx="17">
                  <c:v>-7</c:v>
                </c:pt>
                <c:pt idx="18">
                  <c:v>-3</c:v>
                </c:pt>
                <c:pt idx="19">
                  <c:v>27</c:v>
                </c:pt>
                <c:pt idx="20">
                  <c:v>5</c:v>
                </c:pt>
                <c:pt idx="21">
                  <c:v>-9</c:v>
                </c:pt>
                <c:pt idx="22">
                  <c:v>18</c:v>
                </c:pt>
                <c:pt idx="23">
                  <c:v>-2</c:v>
                </c:pt>
                <c:pt idx="24">
                  <c:v>-10</c:v>
                </c:pt>
                <c:pt idx="25">
                  <c:v>-9</c:v>
                </c:pt>
                <c:pt idx="26">
                  <c:v>-15</c:v>
                </c:pt>
                <c:pt idx="27">
                  <c:v>10</c:v>
                </c:pt>
                <c:pt idx="28">
                  <c:v>29</c:v>
                </c:pt>
                <c:pt idx="29">
                  <c:v>-8</c:v>
                </c:pt>
                <c:pt idx="30">
                  <c:v>31</c:v>
                </c:pt>
                <c:pt idx="31">
                  <c:v>10</c:v>
                </c:pt>
                <c:pt idx="32">
                  <c:v>-7</c:v>
                </c:pt>
                <c:pt idx="33">
                  <c:v>18</c:v>
                </c:pt>
                <c:pt idx="34">
                  <c:v>-9</c:v>
                </c:pt>
                <c:pt idx="35">
                  <c:v>-30</c:v>
                </c:pt>
                <c:pt idx="36">
                  <c:v>47</c:v>
                </c:pt>
                <c:pt idx="37">
                  <c:v>-16</c:v>
                </c:pt>
                <c:pt idx="38">
                  <c:v>-23</c:v>
                </c:pt>
              </c:numCache>
            </c:numRef>
          </c:xVal>
          <c:yVal>
            <c:numRef>
              <c:f>'Purdue Games'!$E$2:$E$48</c:f>
              <c:numCache>
                <c:formatCode>0.0</c:formatCode>
                <c:ptCount val="39"/>
                <c:pt idx="0">
                  <c:v>38.107593870839878</c:v>
                </c:pt>
                <c:pt idx="1">
                  <c:v>15.138849884884095</c:v>
                </c:pt>
                <c:pt idx="2">
                  <c:v>12.298692097889145</c:v>
                </c:pt>
                <c:pt idx="3">
                  <c:v>-14.714946608054843</c:v>
                </c:pt>
                <c:pt idx="4">
                  <c:v>34.584321431364671</c:v>
                </c:pt>
                <c:pt idx="5">
                  <c:v>-3.666547604813216</c:v>
                </c:pt>
                <c:pt idx="6">
                  <c:v>-5.0398092404880233</c:v>
                </c:pt>
                <c:pt idx="7">
                  <c:v>-5.2324063444775906</c:v>
                </c:pt>
                <c:pt idx="8">
                  <c:v>2.0946418488301362</c:v>
                </c:pt>
                <c:pt idx="9">
                  <c:v>-5.2500854548584064</c:v>
                </c:pt>
                <c:pt idx="10">
                  <c:v>-10.582516491645455</c:v>
                </c:pt>
                <c:pt idx="11">
                  <c:v>32.727156163246207</c:v>
                </c:pt>
                <c:pt idx="12">
                  <c:v>-9.0893155603422429</c:v>
                </c:pt>
                <c:pt idx="13">
                  <c:v>3.108481065246437</c:v>
                </c:pt>
                <c:pt idx="14">
                  <c:v>-6.2422782312579539</c:v>
                </c:pt>
                <c:pt idx="15">
                  <c:v>9.1630414686965338</c:v>
                </c:pt>
                <c:pt idx="16">
                  <c:v>-12.221068442908562</c:v>
                </c:pt>
                <c:pt idx="17">
                  <c:v>-4.7390793829589315</c:v>
                </c:pt>
                <c:pt idx="18">
                  <c:v>5.7440178554065398</c:v>
                </c:pt>
                <c:pt idx="19">
                  <c:v>7.3350196736658546</c:v>
                </c:pt>
                <c:pt idx="20">
                  <c:v>10.084819492646048</c:v>
                </c:pt>
                <c:pt idx="21">
                  <c:v>-6.7763632849882933</c:v>
                </c:pt>
                <c:pt idx="22">
                  <c:v>13.939807663274721</c:v>
                </c:pt>
                <c:pt idx="23">
                  <c:v>-5.4503502092730871</c:v>
                </c:pt>
                <c:pt idx="24">
                  <c:v>-0.87478175335674258</c:v>
                </c:pt>
                <c:pt idx="25">
                  <c:v>-9.7777942327818099</c:v>
                </c:pt>
                <c:pt idx="26">
                  <c:v>-7.8421561014449424</c:v>
                </c:pt>
                <c:pt idx="27">
                  <c:v>-4.4678052861601287</c:v>
                </c:pt>
                <c:pt idx="28">
                  <c:v>18.045332577107885</c:v>
                </c:pt>
                <c:pt idx="29">
                  <c:v>-5.2669236459156075</c:v>
                </c:pt>
                <c:pt idx="30">
                  <c:v>33.48323437283149</c:v>
                </c:pt>
                <c:pt idx="31">
                  <c:v>21.11074477602369</c:v>
                </c:pt>
                <c:pt idx="32">
                  <c:v>-11.565737693579086</c:v>
                </c:pt>
                <c:pt idx="33">
                  <c:v>5.5601621073509726</c:v>
                </c:pt>
                <c:pt idx="34">
                  <c:v>-15.507094398538673</c:v>
                </c:pt>
                <c:pt idx="35">
                  <c:v>-20.114188560118848</c:v>
                </c:pt>
                <c:pt idx="36">
                  <c:v>37.764249902864748</c:v>
                </c:pt>
                <c:pt idx="37">
                  <c:v>-23.062628777069985</c:v>
                </c:pt>
                <c:pt idx="38">
                  <c:v>-15.237515338447626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18-491A-891F-757CC8EC0903}"/>
            </c:ext>
          </c:extLst>
        </c:ser>
        <c:ser>
          <c:idx val="1"/>
          <c:order val="1"/>
          <c:tx>
            <c:strRef>
              <c:f>'Purdue Games'!$Z$2:$Z$4</c:f>
              <c:strCache>
                <c:ptCount val="3"/>
                <c:pt idx="0">
                  <c:v>-40</c:v>
                </c:pt>
                <c:pt idx="1">
                  <c:v>0</c:v>
                </c:pt>
                <c:pt idx="2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alpha val="5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'Purdue Games'!$Z$2:$Z$4</c:f>
              <c:numCache>
                <c:formatCode>General</c:formatCode>
                <c:ptCount val="3"/>
                <c:pt idx="0">
                  <c:v>-40</c:v>
                </c:pt>
                <c:pt idx="1">
                  <c:v>0</c:v>
                </c:pt>
                <c:pt idx="2">
                  <c:v>40</c:v>
                </c:pt>
              </c:numCache>
            </c:numRef>
          </c:xVal>
          <c:yVal>
            <c:numRef>
              <c:f>'Purdue Games'!$AA$2:$AA$4</c:f>
              <c:numCache>
                <c:formatCode>General</c:formatCode>
                <c:ptCount val="3"/>
                <c:pt idx="0">
                  <c:v>-40</c:v>
                </c:pt>
                <c:pt idx="1">
                  <c:v>0</c:v>
                </c:pt>
                <c:pt idx="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91-459F-B37D-AA5DFDF12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85407"/>
        <c:axId val="1686782527"/>
      </c:scatterChart>
      <c:valAx>
        <c:axId val="168678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82527"/>
        <c:crosses val="autoZero"/>
        <c:crossBetween val="midCat"/>
      </c:valAx>
      <c:valAx>
        <c:axId val="168678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Margin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8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555625</xdr:colOff>
      <xdr:row>19</xdr:row>
      <xdr:rowOff>88900</xdr:rowOff>
    </xdr:from>
    <xdr:to>
      <xdr:col>17</xdr:col>
      <xdr:colOff>333375</xdr:colOff>
      <xdr:row>39</xdr:row>
      <xdr:rowOff>69850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A8E7A56-103A-4251-899D-52A804229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555625</xdr:colOff>
      <xdr:row>19</xdr:row>
      <xdr:rowOff>88900</xdr:rowOff>
    </xdr:from>
    <xdr:to>
      <xdr:col>17</xdr:col>
      <xdr:colOff>333375</xdr:colOff>
      <xdr:row>39</xdr:row>
      <xdr:rowOff>69850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F1AAA116-44C3-5B6D-7616-5A6CE33F2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2F71BD-3AD2-4755-B7A3-D99DC46CEB4C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0E8A-AC89-406F-B144-C8751D936A02}">
  <dimension ref="A1:I79"/>
  <sheetViews>
    <sheetView workbookViewId="0">
      <selection activeCell="A16" sqref="A16:B25"/>
    </sheetView>
  </sheetViews>
  <sheetFormatPr defaultRowHeight="14.45"/>
  <cols>
    <col min="1" max="1" width="22.85546875" bestFit="1" customWidth="1"/>
    <col min="2" max="2" width="21" bestFit="1" customWidth="1"/>
    <col min="3" max="3" width="13" bestFit="1" customWidth="1"/>
    <col min="4" max="4" width="12.42578125" bestFit="1" customWidth="1"/>
    <col min="5" max="5" width="11.85546875" bestFit="1" customWidth="1"/>
    <col min="6" max="6" width="12.7109375" bestFit="1" customWidth="1"/>
    <col min="7" max="7" width="11.85546875" bestFit="1" customWidth="1"/>
    <col min="8" max="8" width="12.42578125" bestFit="1" customWidth="1"/>
    <col min="9" max="9" width="12" bestFit="1" customWidth="1"/>
  </cols>
  <sheetData>
    <row r="1" spans="1:9">
      <c r="A1" t="s">
        <v>0</v>
      </c>
    </row>
    <row r="2" spans="1:9" ht="15" thickBot="1"/>
    <row r="3" spans="1:9">
      <c r="A3" s="17" t="s">
        <v>1</v>
      </c>
      <c r="B3" s="17"/>
    </row>
    <row r="4" spans="1:9">
      <c r="A4" s="14" t="s">
        <v>2</v>
      </c>
      <c r="B4" s="14">
        <v>0.4268949464000304</v>
      </c>
    </row>
    <row r="5" spans="1:9">
      <c r="A5" s="14" t="s">
        <v>3</v>
      </c>
      <c r="B5" s="14">
        <v>0.18223929526188481</v>
      </c>
    </row>
    <row r="6" spans="1:9">
      <c r="A6" s="14" t="s">
        <v>4</v>
      </c>
      <c r="B6" s="14">
        <v>1.4493509674579149E-2</v>
      </c>
    </row>
    <row r="7" spans="1:9">
      <c r="A7" s="14" t="s">
        <v>5</v>
      </c>
      <c r="B7" s="14">
        <v>2.5861992116444767</v>
      </c>
    </row>
    <row r="8" spans="1:9" ht="15" thickBot="1">
      <c r="A8" s="15" t="s">
        <v>6</v>
      </c>
      <c r="B8" s="15">
        <v>48</v>
      </c>
    </row>
    <row r="10" spans="1:9" ht="15" thickBot="1">
      <c r="A10" t="s">
        <v>7</v>
      </c>
    </row>
    <row r="11" spans="1:9">
      <c r="A11" s="16"/>
      <c r="B11" s="16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</row>
    <row r="12" spans="1:9">
      <c r="A12" s="14" t="s">
        <v>13</v>
      </c>
      <c r="B12" s="14">
        <v>8</v>
      </c>
      <c r="C12" s="14">
        <v>58.130538536556628</v>
      </c>
      <c r="D12" s="14">
        <v>7.2663173170695785</v>
      </c>
      <c r="E12" s="14">
        <v>1.0864016322307888</v>
      </c>
      <c r="F12" s="14">
        <v>0.39284526060810276</v>
      </c>
    </row>
    <row r="13" spans="1:9">
      <c r="A13" s="14" t="s">
        <v>14</v>
      </c>
      <c r="B13" s="14">
        <v>39</v>
      </c>
      <c r="C13" s="14">
        <v>260.84862813011</v>
      </c>
      <c r="D13" s="14">
        <v>6.6884263623105129</v>
      </c>
      <c r="E13" s="14"/>
      <c r="F13" s="14"/>
    </row>
    <row r="14" spans="1:9" ht="15" thickBot="1">
      <c r="A14" s="15" t="s">
        <v>15</v>
      </c>
      <c r="B14" s="15">
        <v>47</v>
      </c>
      <c r="C14" s="15">
        <v>318.97916666666663</v>
      </c>
      <c r="D14" s="15"/>
      <c r="E14" s="15"/>
      <c r="F14" s="15"/>
    </row>
    <row r="15" spans="1:9" ht="15" thickBot="1"/>
    <row r="16" spans="1:9">
      <c r="A16" s="16"/>
      <c r="B16" s="16" t="s">
        <v>16</v>
      </c>
      <c r="C16" s="16" t="s">
        <v>5</v>
      </c>
      <c r="D16" s="16" t="s">
        <v>17</v>
      </c>
      <c r="E16" s="16" t="s">
        <v>18</v>
      </c>
      <c r="F16" s="16" t="s">
        <v>19</v>
      </c>
      <c r="G16" s="16" t="s">
        <v>20</v>
      </c>
      <c r="H16" s="16" t="s">
        <v>21</v>
      </c>
      <c r="I16" s="16" t="s">
        <v>22</v>
      </c>
    </row>
    <row r="17" spans="1:9">
      <c r="A17" s="14" t="s">
        <v>23</v>
      </c>
      <c r="B17" s="14">
        <v>5.3347130675073142</v>
      </c>
      <c r="C17" s="14">
        <v>24.799326142529633</v>
      </c>
      <c r="D17" s="14">
        <v>0.21511524292422374</v>
      </c>
      <c r="E17" s="14">
        <v>0.83079845340472136</v>
      </c>
      <c r="F17" s="14">
        <v>-44.826658744017614</v>
      </c>
      <c r="G17" s="14">
        <v>55.496084879032246</v>
      </c>
      <c r="H17" s="14">
        <v>-44.826658744017614</v>
      </c>
      <c r="I17" s="14">
        <v>55.496084879032246</v>
      </c>
    </row>
    <row r="18" spans="1:9">
      <c r="A18" s="14" t="s">
        <v>24</v>
      </c>
      <c r="B18" s="14">
        <v>-1.1709823865022563E-2</v>
      </c>
      <c r="C18" s="14">
        <v>3.9462784937260457E-2</v>
      </c>
      <c r="D18" s="14">
        <v>-0.29673080304999555</v>
      </c>
      <c r="E18" s="14">
        <v>0.76824665071533427</v>
      </c>
      <c r="F18" s="14">
        <v>-9.1530840636982691E-2</v>
      </c>
      <c r="G18" s="14">
        <v>6.8111192906937568E-2</v>
      </c>
      <c r="H18" s="14">
        <v>-9.1530840636982691E-2</v>
      </c>
      <c r="I18" s="14">
        <v>6.8111192906937568E-2</v>
      </c>
    </row>
    <row r="19" spans="1:9">
      <c r="A19" s="14" t="s">
        <v>25</v>
      </c>
      <c r="B19" s="14">
        <v>6.8456071797268992E-3</v>
      </c>
      <c r="C19" s="14">
        <v>1.9725569856748181E-2</v>
      </c>
      <c r="D19" s="14">
        <v>0.34704230242478873</v>
      </c>
      <c r="E19" s="14">
        <v>0.73042530984235898</v>
      </c>
      <c r="F19" s="14">
        <v>-3.3053123862068455E-2</v>
      </c>
      <c r="G19" s="14">
        <v>4.6744338221522248E-2</v>
      </c>
      <c r="H19" s="14">
        <v>-3.3053123862068455E-2</v>
      </c>
      <c r="I19" s="14">
        <v>4.6744338221522248E-2</v>
      </c>
    </row>
    <row r="20" spans="1:9">
      <c r="A20" s="14" t="s">
        <v>26</v>
      </c>
      <c r="B20" s="14">
        <v>-9.5873101035627378E-2</v>
      </c>
      <c r="C20" s="14">
        <v>0.16829056689524233</v>
      </c>
      <c r="D20" s="14">
        <v>-0.56968790826705429</v>
      </c>
      <c r="E20" s="14">
        <v>0.57215651931661649</v>
      </c>
      <c r="F20" s="14">
        <v>-0.43627290262247287</v>
      </c>
      <c r="G20" s="14">
        <v>0.24452670055121814</v>
      </c>
      <c r="H20" s="14">
        <v>-0.43627290262247287</v>
      </c>
      <c r="I20" s="14">
        <v>0.24452670055121814</v>
      </c>
    </row>
    <row r="21" spans="1:9">
      <c r="A21" s="14" t="s">
        <v>27</v>
      </c>
      <c r="B21" s="14">
        <v>1.6905784822851863E-3</v>
      </c>
      <c r="C21" s="14">
        <v>0.13625830483319501</v>
      </c>
      <c r="D21" s="14">
        <v>1.2407159213926537E-2</v>
      </c>
      <c r="E21" s="14">
        <v>0.99016402639378498</v>
      </c>
      <c r="F21" s="14">
        <v>-0.27391785748341924</v>
      </c>
      <c r="G21" s="14">
        <v>0.27729901444798966</v>
      </c>
      <c r="H21" s="14">
        <v>-0.27391785748341924</v>
      </c>
      <c r="I21" s="14">
        <v>0.27729901444798966</v>
      </c>
    </row>
    <row r="22" spans="1:9">
      <c r="A22" s="14" t="s">
        <v>28</v>
      </c>
      <c r="B22" s="14">
        <v>-1.9119919544317469E-2</v>
      </c>
      <c r="C22" s="14">
        <v>9.9509541625491513E-2</v>
      </c>
      <c r="D22" s="14">
        <v>-0.19214156986348221</v>
      </c>
      <c r="E22" s="14">
        <v>0.84862830151401125</v>
      </c>
      <c r="F22" s="14">
        <v>-0.2203969658472191</v>
      </c>
      <c r="G22" s="14">
        <v>0.18215712675858417</v>
      </c>
      <c r="H22" s="14">
        <v>-0.2203969658472191</v>
      </c>
      <c r="I22" s="14">
        <v>0.18215712675858417</v>
      </c>
    </row>
    <row r="23" spans="1:9">
      <c r="A23" s="14" t="s">
        <v>29</v>
      </c>
      <c r="B23" s="14">
        <v>3.8043497216265584E-2</v>
      </c>
      <c r="C23" s="14">
        <v>6.3002951689251852E-2</v>
      </c>
      <c r="D23" s="14">
        <v>0.60383674409266941</v>
      </c>
      <c r="E23" s="14">
        <v>0.54944863645158426</v>
      </c>
      <c r="F23" s="14">
        <v>-8.9392001101098753E-2</v>
      </c>
      <c r="G23" s="14">
        <v>0.16547899553362994</v>
      </c>
      <c r="H23" s="14">
        <v>-8.9392001101098753E-2</v>
      </c>
      <c r="I23" s="14">
        <v>0.16547899553362994</v>
      </c>
    </row>
    <row r="24" spans="1:9">
      <c r="A24" s="14" t="s">
        <v>30</v>
      </c>
      <c r="B24" s="14">
        <v>0.29103643185503086</v>
      </c>
      <c r="C24" s="14">
        <v>0.22242304446604161</v>
      </c>
      <c r="D24" s="14">
        <v>1.308481468517372</v>
      </c>
      <c r="E24" s="14">
        <v>0.19836909662585764</v>
      </c>
      <c r="F24" s="14">
        <v>-0.15885664059336391</v>
      </c>
      <c r="G24" s="14">
        <v>0.74092950430342563</v>
      </c>
      <c r="H24" s="14">
        <v>-0.15885664059336391</v>
      </c>
      <c r="I24" s="14">
        <v>0.74092950430342563</v>
      </c>
    </row>
    <row r="25" spans="1:9" ht="15" thickBot="1">
      <c r="A25" s="15" t="s">
        <v>31</v>
      </c>
      <c r="B25" s="15">
        <v>-0.21270311490936383</v>
      </c>
      <c r="C25" s="15">
        <v>0.22658367940068808</v>
      </c>
      <c r="D25" s="15">
        <v>-0.93873978687238979</v>
      </c>
      <c r="E25" s="15">
        <v>0.35364215031389212</v>
      </c>
      <c r="F25" s="15">
        <v>-0.67101186586165573</v>
      </c>
      <c r="G25" s="15">
        <v>0.24560563604292807</v>
      </c>
      <c r="H25" s="15">
        <v>-0.67101186586165573</v>
      </c>
      <c r="I25" s="15">
        <v>0.24560563604292807</v>
      </c>
    </row>
    <row r="29" spans="1:9">
      <c r="A29" t="s">
        <v>32</v>
      </c>
    </row>
    <row r="30" spans="1:9" ht="15" thickBot="1"/>
    <row r="31" spans="1:9">
      <c r="A31" s="16" t="s">
        <v>33</v>
      </c>
      <c r="B31" s="16" t="s">
        <v>34</v>
      </c>
      <c r="C31" s="16" t="s">
        <v>35</v>
      </c>
    </row>
    <row r="32" spans="1:9">
      <c r="A32" s="14">
        <v>1</v>
      </c>
      <c r="B32" s="14">
        <v>9.9549664762978249</v>
      </c>
      <c r="C32" s="14">
        <v>-2.9549664762978249</v>
      </c>
    </row>
    <row r="33" spans="1:3">
      <c r="A33" s="14">
        <v>2</v>
      </c>
      <c r="B33" s="14">
        <v>8.7182923080161938</v>
      </c>
      <c r="C33" s="14">
        <v>-2.7182923080161938</v>
      </c>
    </row>
    <row r="34" spans="1:3">
      <c r="A34" s="14">
        <v>3</v>
      </c>
      <c r="B34" s="14">
        <v>11.333906381956426</v>
      </c>
      <c r="C34" s="14">
        <v>-1.3339063819564263</v>
      </c>
    </row>
    <row r="35" spans="1:3">
      <c r="A35" s="14">
        <v>4</v>
      </c>
      <c r="B35" s="14">
        <v>7.2666398246237076</v>
      </c>
      <c r="C35" s="14">
        <v>1.7333601753762924</v>
      </c>
    </row>
    <row r="36" spans="1:3">
      <c r="A36" s="14">
        <v>5</v>
      </c>
      <c r="B36" s="14">
        <v>9.749665199782596</v>
      </c>
      <c r="C36" s="14">
        <v>-0.74966519978259605</v>
      </c>
    </row>
    <row r="37" spans="1:3">
      <c r="A37" s="14">
        <v>6</v>
      </c>
      <c r="B37" s="14">
        <v>8.3514187163496114</v>
      </c>
      <c r="C37" s="14">
        <v>-2.3514187163496114</v>
      </c>
    </row>
    <row r="38" spans="1:3">
      <c r="A38" s="14">
        <v>7</v>
      </c>
      <c r="B38" s="14">
        <v>7.7593183102288599</v>
      </c>
      <c r="C38" s="14">
        <v>3.2406816897711401</v>
      </c>
    </row>
    <row r="39" spans="1:3">
      <c r="A39" s="14">
        <v>8</v>
      </c>
      <c r="B39" s="14">
        <v>8.6919331330598766</v>
      </c>
      <c r="C39" s="14">
        <v>-3.6919331330598766</v>
      </c>
    </row>
    <row r="40" spans="1:3">
      <c r="A40" s="14">
        <v>9</v>
      </c>
      <c r="B40" s="14">
        <v>9.4065810737044782</v>
      </c>
      <c r="C40" s="14">
        <v>0.59341892629552184</v>
      </c>
    </row>
    <row r="41" spans="1:3">
      <c r="A41" s="14">
        <v>10</v>
      </c>
      <c r="B41" s="14">
        <v>8.0607874257301084</v>
      </c>
      <c r="C41" s="14">
        <v>-2.0607874257301084</v>
      </c>
    </row>
    <row r="42" spans="1:3">
      <c r="A42" s="14">
        <v>11</v>
      </c>
      <c r="B42" s="14">
        <v>6.77548302838869</v>
      </c>
      <c r="C42" s="14">
        <v>-0.77548302838868999</v>
      </c>
    </row>
    <row r="43" spans="1:3">
      <c r="A43" s="14">
        <v>12</v>
      </c>
      <c r="B43" s="14">
        <v>9.554095189634447</v>
      </c>
      <c r="C43" s="14">
        <v>2.445904810365553</v>
      </c>
    </row>
    <row r="44" spans="1:3">
      <c r="A44" s="14">
        <v>13</v>
      </c>
      <c r="B44" s="14">
        <v>8.1843305893118306</v>
      </c>
      <c r="C44" s="14">
        <v>1.8156694106881694</v>
      </c>
    </row>
    <row r="45" spans="1:3">
      <c r="A45" s="14">
        <v>14</v>
      </c>
      <c r="B45" s="14">
        <v>8.3630854623472022</v>
      </c>
      <c r="C45" s="14">
        <v>-1.3630854623472022</v>
      </c>
    </row>
    <row r="46" spans="1:3">
      <c r="A46" s="14">
        <v>15</v>
      </c>
      <c r="B46" s="14">
        <v>8.450267712332062</v>
      </c>
      <c r="C46" s="14">
        <v>5.549732287667938</v>
      </c>
    </row>
    <row r="47" spans="1:3">
      <c r="A47" s="14">
        <v>16</v>
      </c>
      <c r="B47" s="14">
        <v>9.123512467114212</v>
      </c>
      <c r="C47" s="14">
        <v>4.876487532885788</v>
      </c>
    </row>
    <row r="48" spans="1:3">
      <c r="A48" s="14">
        <v>17</v>
      </c>
      <c r="B48" s="14">
        <v>7.579123211345177</v>
      </c>
      <c r="C48" s="14">
        <v>-2.579123211345177</v>
      </c>
    </row>
    <row r="49" spans="1:3">
      <c r="A49" s="14">
        <v>18</v>
      </c>
      <c r="B49" s="14">
        <v>8.1161398950555999</v>
      </c>
      <c r="C49" s="14">
        <v>-1.1161398950555999</v>
      </c>
    </row>
    <row r="50" spans="1:3">
      <c r="A50" s="14">
        <v>19</v>
      </c>
      <c r="B50" s="14">
        <v>9.0112383947009942</v>
      </c>
      <c r="C50" s="14">
        <v>-1.0112383947009942</v>
      </c>
    </row>
    <row r="51" spans="1:3">
      <c r="A51" s="14">
        <v>20</v>
      </c>
      <c r="B51" s="14">
        <v>9.7757376732011583</v>
      </c>
      <c r="C51" s="14">
        <v>0.22426232679884173</v>
      </c>
    </row>
    <row r="52" spans="1:3">
      <c r="A52" s="14">
        <v>21</v>
      </c>
      <c r="B52" s="14">
        <v>9.2832988490019748</v>
      </c>
      <c r="C52" s="14">
        <v>-2.2832988490019748</v>
      </c>
    </row>
    <row r="53" spans="1:3">
      <c r="A53" s="14">
        <v>22</v>
      </c>
      <c r="B53" s="14">
        <v>7.8955988505732613</v>
      </c>
      <c r="C53" s="14">
        <v>-3.8955988505732613</v>
      </c>
    </row>
    <row r="54" spans="1:3">
      <c r="A54" s="14">
        <v>23</v>
      </c>
      <c r="B54" s="14">
        <v>9.4219386036958372</v>
      </c>
      <c r="C54" s="14">
        <v>3.5780613963041628</v>
      </c>
    </row>
    <row r="55" spans="1:3">
      <c r="A55" s="14">
        <v>24</v>
      </c>
      <c r="B55" s="14">
        <v>7.3429150301744084</v>
      </c>
      <c r="C55" s="14">
        <v>-0.34291503017440839</v>
      </c>
    </row>
    <row r="56" spans="1:3">
      <c r="A56" s="14">
        <v>25</v>
      </c>
      <c r="B56" s="14">
        <v>9.0306165722315992</v>
      </c>
      <c r="C56" s="14">
        <v>2.9693834277684008</v>
      </c>
    </row>
    <row r="57" spans="1:3">
      <c r="A57" s="14">
        <v>26</v>
      </c>
      <c r="B57" s="14">
        <v>7.6130108159968515</v>
      </c>
      <c r="C57" s="14">
        <v>0.38698918400314852</v>
      </c>
    </row>
    <row r="58" spans="1:3">
      <c r="A58" s="14">
        <v>27</v>
      </c>
      <c r="B58" s="14">
        <v>7.8052848208159524</v>
      </c>
      <c r="C58" s="14">
        <v>-2.8052848208159524</v>
      </c>
    </row>
    <row r="59" spans="1:3">
      <c r="A59" s="14">
        <v>28</v>
      </c>
      <c r="B59" s="14">
        <v>8.190275296249256</v>
      </c>
      <c r="C59" s="14">
        <v>-0.19027529624925599</v>
      </c>
    </row>
    <row r="60" spans="1:3">
      <c r="A60" s="14">
        <v>29</v>
      </c>
      <c r="B60" s="14">
        <v>9.6466175508777692</v>
      </c>
      <c r="C60" s="14">
        <v>-0.64661755087776918</v>
      </c>
    </row>
    <row r="61" spans="1:3">
      <c r="A61" s="14">
        <v>30</v>
      </c>
      <c r="B61" s="14">
        <v>6.9976620127201308</v>
      </c>
      <c r="C61" s="14">
        <v>5.0023379872798692</v>
      </c>
    </row>
    <row r="62" spans="1:3">
      <c r="A62" s="14">
        <v>31</v>
      </c>
      <c r="B62" s="14">
        <v>9.9919219880437051</v>
      </c>
      <c r="C62" s="14">
        <v>1.0080780119562949</v>
      </c>
    </row>
    <row r="63" spans="1:3">
      <c r="A63" s="14">
        <v>32</v>
      </c>
      <c r="B63" s="14">
        <v>9.9919219880437051</v>
      </c>
      <c r="C63" s="14">
        <v>1.0080780119562949</v>
      </c>
    </row>
    <row r="64" spans="1:3">
      <c r="A64" s="14">
        <v>33</v>
      </c>
      <c r="B64" s="14">
        <v>10.180215168306743</v>
      </c>
      <c r="C64" s="14">
        <v>-1.1802151683067432</v>
      </c>
    </row>
    <row r="65" spans="1:3">
      <c r="A65" s="14">
        <v>34</v>
      </c>
      <c r="B65" s="14">
        <v>10.180215168306743</v>
      </c>
      <c r="C65" s="14">
        <v>-1.1802151683067432</v>
      </c>
    </row>
    <row r="66" spans="1:3">
      <c r="A66" s="14">
        <v>35</v>
      </c>
      <c r="B66" s="14">
        <v>6.0734922659431589</v>
      </c>
      <c r="C66" s="14">
        <v>-2.0734922659431589</v>
      </c>
    </row>
    <row r="67" spans="1:3">
      <c r="A67" s="14">
        <v>36</v>
      </c>
      <c r="B67" s="14">
        <v>6.0734922659431589</v>
      </c>
      <c r="C67" s="14">
        <v>-2.0734922659431589</v>
      </c>
    </row>
    <row r="68" spans="1:3">
      <c r="A68" s="14">
        <v>37</v>
      </c>
      <c r="B68" s="14">
        <v>9.1268694906592014</v>
      </c>
      <c r="C68" s="14">
        <v>0.87313050934079861</v>
      </c>
    </row>
    <row r="69" spans="1:3">
      <c r="A69" s="14">
        <v>38</v>
      </c>
      <c r="B69" s="14">
        <v>9.1268694906592014</v>
      </c>
      <c r="C69" s="14">
        <v>0.87313050934079861</v>
      </c>
    </row>
    <row r="70" spans="1:3">
      <c r="A70" s="14">
        <v>39</v>
      </c>
      <c r="B70" s="14">
        <v>7.8620525604831339</v>
      </c>
      <c r="C70" s="14">
        <v>4.1379474395168661</v>
      </c>
    </row>
    <row r="71" spans="1:3">
      <c r="A71" s="14">
        <v>40</v>
      </c>
      <c r="B71" s="14">
        <v>7.8620525604831339</v>
      </c>
      <c r="C71" s="14">
        <v>4.1379474395168661</v>
      </c>
    </row>
    <row r="72" spans="1:3">
      <c r="A72" s="14">
        <v>41</v>
      </c>
      <c r="B72" s="14">
        <v>8.196336303393652</v>
      </c>
      <c r="C72" s="14">
        <v>-1.196336303393652</v>
      </c>
    </row>
    <row r="73" spans="1:3">
      <c r="A73" s="14">
        <v>42</v>
      </c>
      <c r="B73" s="14">
        <v>8.196336303393652</v>
      </c>
      <c r="C73" s="14">
        <v>-1.196336303393652</v>
      </c>
    </row>
    <row r="74" spans="1:3">
      <c r="A74" s="14">
        <v>43</v>
      </c>
      <c r="B74" s="14">
        <v>9.9690128312068982</v>
      </c>
      <c r="C74" s="14">
        <v>3.0987168793101816E-2</v>
      </c>
    </row>
    <row r="75" spans="1:3">
      <c r="A75" s="14">
        <v>44</v>
      </c>
      <c r="B75" s="14">
        <v>9.9690128312068982</v>
      </c>
      <c r="C75" s="14">
        <v>3.0987168793101816E-2</v>
      </c>
    </row>
    <row r="76" spans="1:3">
      <c r="A76" s="14">
        <v>45</v>
      </c>
      <c r="B76" s="14">
        <v>8.9473738608134266</v>
      </c>
      <c r="C76" s="14">
        <v>-0.94737386081342656</v>
      </c>
    </row>
    <row r="77" spans="1:3">
      <c r="A77" s="14">
        <v>46</v>
      </c>
      <c r="B77" s="14">
        <v>8.9473738608134266</v>
      </c>
      <c r="C77" s="14">
        <v>-0.94737386081342656</v>
      </c>
    </row>
    <row r="78" spans="1:3">
      <c r="A78" s="14">
        <v>47</v>
      </c>
      <c r="B78" s="14">
        <v>8.4258550933911369</v>
      </c>
      <c r="C78" s="14">
        <v>-0.42585509339113692</v>
      </c>
    </row>
    <row r="79" spans="1:3" ht="15" thickBot="1">
      <c r="A79" s="15">
        <v>48</v>
      </c>
      <c r="B79" s="15">
        <v>8.4258550933911369</v>
      </c>
      <c r="C79" s="15">
        <v>-0.42585509339113692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8DBA-F14C-4EE0-85A0-D37C6E592442}">
  <dimension ref="A1:AA77"/>
  <sheetViews>
    <sheetView topLeftCell="A29" workbookViewId="0">
      <selection activeCell="F56" sqref="F56"/>
    </sheetView>
  </sheetViews>
  <sheetFormatPr defaultRowHeight="14.45"/>
  <cols>
    <col min="1" max="1" width="39.140625" bestFit="1" customWidth="1"/>
    <col min="2" max="2" width="12.7109375" bestFit="1" customWidth="1"/>
    <col min="3" max="3" width="15.85546875" bestFit="1" customWidth="1"/>
    <col min="4" max="4" width="14.28515625" style="4" bestFit="1" customWidth="1"/>
    <col min="5" max="5" width="22.5703125" style="2" bestFit="1" customWidth="1"/>
    <col min="6" max="6" width="15" bestFit="1" customWidth="1"/>
    <col min="7" max="8" width="14.42578125" bestFit="1" customWidth="1"/>
    <col min="9" max="9" width="13.85546875" style="3" bestFit="1" customWidth="1"/>
    <col min="10" max="10" width="22.85546875" bestFit="1" customWidth="1"/>
    <col min="11" max="11" width="22.140625" style="3" bestFit="1" customWidth="1"/>
    <col min="12" max="12" width="10.85546875" style="3" bestFit="1" customWidth="1"/>
    <col min="13" max="13" width="11.42578125" bestFit="1" customWidth="1"/>
    <col min="15" max="15" width="22.140625" bestFit="1" customWidth="1"/>
    <col min="16" max="16" width="15.5703125" style="3" bestFit="1" customWidth="1"/>
    <col min="17" max="17" width="22.140625" bestFit="1" customWidth="1"/>
    <col min="18" max="18" width="14.5703125" bestFit="1" customWidth="1"/>
  </cols>
  <sheetData>
    <row r="1" spans="1:27">
      <c r="A1" t="s">
        <v>36</v>
      </c>
      <c r="B1" t="s">
        <v>37</v>
      </c>
      <c r="C1" t="s">
        <v>38</v>
      </c>
      <c r="D1" s="4" t="s">
        <v>39</v>
      </c>
      <c r="E1" s="2" t="s">
        <v>40</v>
      </c>
      <c r="F1" t="s">
        <v>24</v>
      </c>
      <c r="G1" t="s">
        <v>25</v>
      </c>
      <c r="H1" t="s">
        <v>26</v>
      </c>
      <c r="I1" s="3" t="s">
        <v>27</v>
      </c>
      <c r="J1" t="s">
        <v>28</v>
      </c>
      <c r="K1" s="3" t="s">
        <v>29</v>
      </c>
      <c r="L1" s="3" t="s">
        <v>30</v>
      </c>
      <c r="M1" t="s">
        <v>31</v>
      </c>
      <c r="Z1" t="s">
        <v>41</v>
      </c>
      <c r="AA1" t="s">
        <v>42</v>
      </c>
    </row>
    <row r="2" spans="1:27">
      <c r="A2" t="s">
        <v>43</v>
      </c>
      <c r="B2" t="s">
        <v>44</v>
      </c>
      <c r="C2" t="s">
        <v>45</v>
      </c>
      <c r="D2" s="4">
        <v>7</v>
      </c>
      <c r="E2" s="8">
        <f t="shared" ref="E2:E51" si="0">$P$10+(F2*$P$11)+($P$12*G2)+($P$13*H2)+($P$14*I2)+($P$15*J2)+($P$16*K2)+($P$17*L2)+($P$18*M2)</f>
        <v>9.9549664762978249</v>
      </c>
      <c r="F2">
        <v>15</v>
      </c>
      <c r="G2">
        <v>193</v>
      </c>
      <c r="H2">
        <v>25.36</v>
      </c>
      <c r="I2" s="3">
        <v>-2.85</v>
      </c>
      <c r="J2">
        <v>16.760000000000002</v>
      </c>
      <c r="K2" s="3">
        <v>-2.38</v>
      </c>
      <c r="L2" s="3">
        <v>69.3</v>
      </c>
      <c r="M2">
        <v>65.099999999999994</v>
      </c>
    </row>
    <row r="3" spans="1:27">
      <c r="A3" t="s">
        <v>43</v>
      </c>
      <c r="B3" t="s">
        <v>44</v>
      </c>
      <c r="C3" t="s">
        <v>46</v>
      </c>
      <c r="D3" s="4">
        <v>6</v>
      </c>
      <c r="E3" s="8">
        <f t="shared" si="0"/>
        <v>8.7182923080161938</v>
      </c>
      <c r="F3">
        <v>15</v>
      </c>
      <c r="G3">
        <v>74</v>
      </c>
      <c r="H3">
        <v>25.36</v>
      </c>
      <c r="I3" s="3">
        <v>11.02</v>
      </c>
      <c r="J3">
        <v>16.760000000000002</v>
      </c>
      <c r="K3" s="3">
        <v>-1.85</v>
      </c>
      <c r="L3" s="3">
        <v>67.7</v>
      </c>
      <c r="M3">
        <v>65.099999999999994</v>
      </c>
      <c r="Z3">
        <v>0</v>
      </c>
      <c r="AA3">
        <v>0</v>
      </c>
    </row>
    <row r="4" spans="1:27">
      <c r="A4" t="s">
        <v>43</v>
      </c>
      <c r="B4" t="s">
        <v>44</v>
      </c>
      <c r="C4" t="s">
        <v>47</v>
      </c>
      <c r="D4" s="4">
        <v>10</v>
      </c>
      <c r="E4" s="8">
        <f t="shared" si="0"/>
        <v>11.333906381956426</v>
      </c>
      <c r="F4">
        <v>15</v>
      </c>
      <c r="G4">
        <v>6</v>
      </c>
      <c r="H4">
        <v>25.36</v>
      </c>
      <c r="I4" s="3">
        <v>30.34</v>
      </c>
      <c r="J4">
        <v>16.760000000000002</v>
      </c>
      <c r="K4" s="3">
        <v>20.14</v>
      </c>
      <c r="L4" s="3">
        <v>75.3</v>
      </c>
      <c r="M4">
        <v>65.099999999999994</v>
      </c>
      <c r="Z4">
        <v>15</v>
      </c>
      <c r="AA4">
        <v>15</v>
      </c>
    </row>
    <row r="5" spans="1:27">
      <c r="A5" t="s">
        <v>48</v>
      </c>
      <c r="B5" t="s">
        <v>49</v>
      </c>
      <c r="C5" t="s">
        <v>44</v>
      </c>
      <c r="D5" s="4">
        <v>9</v>
      </c>
      <c r="E5" s="8">
        <f t="shared" si="0"/>
        <v>7.2666398246237076</v>
      </c>
      <c r="F5">
        <v>29</v>
      </c>
      <c r="G5">
        <v>15</v>
      </c>
      <c r="H5">
        <v>24.66</v>
      </c>
      <c r="I5" s="3">
        <v>25.36</v>
      </c>
      <c r="J5">
        <v>8.48</v>
      </c>
      <c r="K5" s="3">
        <v>16.760000000000002</v>
      </c>
      <c r="L5" s="3">
        <v>65.099999999999994</v>
      </c>
      <c r="M5">
        <v>70.2</v>
      </c>
    </row>
    <row r="6" spans="1:27">
      <c r="A6" t="s">
        <v>43</v>
      </c>
      <c r="B6" t="s">
        <v>44</v>
      </c>
      <c r="C6" t="s">
        <v>50</v>
      </c>
      <c r="D6" s="4">
        <v>9</v>
      </c>
      <c r="E6" s="8">
        <f t="shared" si="0"/>
        <v>9.749665199782596</v>
      </c>
      <c r="F6">
        <v>15</v>
      </c>
      <c r="G6">
        <v>189</v>
      </c>
      <c r="H6">
        <v>25.36</v>
      </c>
      <c r="I6" s="3">
        <v>-0.3</v>
      </c>
      <c r="J6">
        <v>16.760000000000002</v>
      </c>
      <c r="K6" s="3">
        <v>-4.1100000000000003</v>
      </c>
      <c r="L6" s="3">
        <v>68.900000000000006</v>
      </c>
      <c r="M6">
        <v>65.099999999999994</v>
      </c>
    </row>
    <row r="7" spans="1:27">
      <c r="A7" t="s">
        <v>51</v>
      </c>
      <c r="B7" t="s">
        <v>52</v>
      </c>
      <c r="C7" t="s">
        <v>44</v>
      </c>
      <c r="D7" s="4">
        <v>6</v>
      </c>
      <c r="E7" s="8">
        <f t="shared" si="0"/>
        <v>8.3514187163496114</v>
      </c>
      <c r="F7">
        <v>38</v>
      </c>
      <c r="G7">
        <v>15</v>
      </c>
      <c r="H7">
        <v>15.53</v>
      </c>
      <c r="I7" s="3">
        <v>25.36</v>
      </c>
      <c r="J7">
        <v>13.15</v>
      </c>
      <c r="K7" s="3">
        <v>16.760000000000002</v>
      </c>
      <c r="L7" s="3">
        <v>65.099999999999994</v>
      </c>
      <c r="M7">
        <v>68.3</v>
      </c>
    </row>
    <row r="8" spans="1:27">
      <c r="A8" t="s">
        <v>51</v>
      </c>
      <c r="B8" t="s">
        <v>53</v>
      </c>
      <c r="C8" t="s">
        <v>44</v>
      </c>
      <c r="D8" s="4">
        <v>11</v>
      </c>
      <c r="E8" s="8">
        <f t="shared" si="0"/>
        <v>7.7593183102288599</v>
      </c>
      <c r="F8">
        <v>22</v>
      </c>
      <c r="G8">
        <v>15</v>
      </c>
      <c r="H8">
        <v>23.34</v>
      </c>
      <c r="I8" s="3">
        <v>25.36</v>
      </c>
      <c r="J8">
        <v>16.98</v>
      </c>
      <c r="K8" s="3">
        <v>16.760000000000002</v>
      </c>
      <c r="L8" s="3">
        <v>65.099999999999994</v>
      </c>
      <c r="M8">
        <v>68.099999999999994</v>
      </c>
    </row>
    <row r="9" spans="1:27">
      <c r="A9" t="s">
        <v>54</v>
      </c>
      <c r="B9" t="s">
        <v>55</v>
      </c>
      <c r="C9" t="s">
        <v>44</v>
      </c>
      <c r="D9" s="4">
        <v>5</v>
      </c>
      <c r="E9" s="8">
        <f t="shared" si="0"/>
        <v>8.6919331330598766</v>
      </c>
      <c r="F9">
        <v>58</v>
      </c>
      <c r="G9">
        <v>15</v>
      </c>
      <c r="H9">
        <v>15.42</v>
      </c>
      <c r="I9" s="3">
        <v>25.36</v>
      </c>
      <c r="J9">
        <v>13.68</v>
      </c>
      <c r="K9" s="3">
        <v>16.760000000000002</v>
      </c>
      <c r="L9" s="3">
        <v>65.099999999999994</v>
      </c>
      <c r="M9">
        <v>65.599999999999994</v>
      </c>
      <c r="P9" s="3" t="s">
        <v>16</v>
      </c>
    </row>
    <row r="10" spans="1:27">
      <c r="A10" t="s">
        <v>43</v>
      </c>
      <c r="B10" t="s">
        <v>44</v>
      </c>
      <c r="C10" t="s">
        <v>56</v>
      </c>
      <c r="D10" s="4">
        <v>10</v>
      </c>
      <c r="E10" s="8">
        <f t="shared" si="0"/>
        <v>9.4065810737044782</v>
      </c>
      <c r="F10">
        <v>15</v>
      </c>
      <c r="G10">
        <v>10</v>
      </c>
      <c r="H10">
        <v>25.36</v>
      </c>
      <c r="I10" s="3">
        <v>27.07</v>
      </c>
      <c r="J10">
        <v>16.760000000000002</v>
      </c>
      <c r="K10" s="3">
        <v>12.51</v>
      </c>
      <c r="L10" s="3">
        <v>69.599999999999994</v>
      </c>
      <c r="M10">
        <v>65.099999999999994</v>
      </c>
      <c r="O10" t="s">
        <v>23</v>
      </c>
      <c r="P10">
        <v>5.3347130675073142</v>
      </c>
    </row>
    <row r="11" spans="1:27">
      <c r="A11" t="s">
        <v>57</v>
      </c>
      <c r="B11" t="s">
        <v>58</v>
      </c>
      <c r="C11" t="s">
        <v>44</v>
      </c>
      <c r="D11" s="4">
        <v>6</v>
      </c>
      <c r="E11" s="8">
        <f t="shared" si="0"/>
        <v>8.0607874257301084</v>
      </c>
      <c r="F11">
        <v>18</v>
      </c>
      <c r="G11">
        <v>15</v>
      </c>
      <c r="H11">
        <v>23.66</v>
      </c>
      <c r="I11" s="3">
        <v>25.36</v>
      </c>
      <c r="J11">
        <v>16.52</v>
      </c>
      <c r="K11" s="3">
        <v>16.760000000000002</v>
      </c>
      <c r="L11" s="3">
        <v>65.099999999999994</v>
      </c>
      <c r="M11">
        <v>66.8</v>
      </c>
      <c r="O11" t="s">
        <v>24</v>
      </c>
      <c r="P11">
        <v>-1.1709823865022563E-2</v>
      </c>
    </row>
    <row r="12" spans="1:27">
      <c r="A12" t="s">
        <v>59</v>
      </c>
      <c r="B12" t="s">
        <v>60</v>
      </c>
      <c r="C12" t="s">
        <v>61</v>
      </c>
      <c r="D12" s="4">
        <v>6</v>
      </c>
      <c r="E12" s="8">
        <f t="shared" si="0"/>
        <v>6.77548302838869</v>
      </c>
      <c r="F12">
        <v>4</v>
      </c>
      <c r="G12">
        <v>15</v>
      </c>
      <c r="H12">
        <v>35.049999999999997</v>
      </c>
      <c r="I12" s="3">
        <v>25.36</v>
      </c>
      <c r="J12">
        <v>19.63</v>
      </c>
      <c r="K12" s="3">
        <v>16.760000000000002</v>
      </c>
      <c r="L12" s="3">
        <v>65.099999999999994</v>
      </c>
      <c r="M12">
        <v>68.2</v>
      </c>
      <c r="O12" t="s">
        <v>25</v>
      </c>
      <c r="P12">
        <v>6.8456071797268992E-3</v>
      </c>
    </row>
    <row r="13" spans="1:27">
      <c r="A13" t="s">
        <v>43</v>
      </c>
      <c r="B13" t="s">
        <v>44</v>
      </c>
      <c r="C13" t="s">
        <v>62</v>
      </c>
      <c r="D13" s="4">
        <v>12</v>
      </c>
      <c r="E13" s="8">
        <f t="shared" si="0"/>
        <v>9.554095189634447</v>
      </c>
      <c r="F13">
        <v>15</v>
      </c>
      <c r="G13">
        <v>157</v>
      </c>
      <c r="H13">
        <v>25.36</v>
      </c>
      <c r="I13" s="3">
        <v>-0.47</v>
      </c>
      <c r="J13">
        <v>16.760000000000002</v>
      </c>
      <c r="K13" s="3">
        <v>-2.72</v>
      </c>
      <c r="L13" s="3">
        <v>68.8</v>
      </c>
      <c r="M13">
        <v>65.099999999999994</v>
      </c>
      <c r="O13" t="s">
        <v>26</v>
      </c>
      <c r="P13">
        <v>-9.5873101035627378E-2</v>
      </c>
    </row>
    <row r="14" spans="1:27">
      <c r="A14" t="s">
        <v>63</v>
      </c>
      <c r="B14" t="s">
        <v>64</v>
      </c>
      <c r="C14" t="s">
        <v>44</v>
      </c>
      <c r="D14" s="4">
        <v>10</v>
      </c>
      <c r="E14" s="8">
        <f t="shared" si="0"/>
        <v>8.1843305893118306</v>
      </c>
      <c r="F14">
        <v>83</v>
      </c>
      <c r="G14">
        <v>15</v>
      </c>
      <c r="H14">
        <v>15.26</v>
      </c>
      <c r="I14" s="3">
        <v>25.36</v>
      </c>
      <c r="J14">
        <v>12.37</v>
      </c>
      <c r="K14" s="3">
        <v>16.760000000000002</v>
      </c>
      <c r="L14" s="3">
        <v>65.099999999999994</v>
      </c>
      <c r="M14">
        <v>66.8</v>
      </c>
      <c r="O14" t="s">
        <v>27</v>
      </c>
      <c r="P14">
        <v>1.6905784822851863E-3</v>
      </c>
    </row>
    <row r="15" spans="1:27">
      <c r="A15" t="s">
        <v>43</v>
      </c>
      <c r="B15" t="s">
        <v>44</v>
      </c>
      <c r="C15" t="s">
        <v>65</v>
      </c>
      <c r="D15" s="4">
        <v>7</v>
      </c>
      <c r="E15" s="8">
        <f t="shared" si="0"/>
        <v>8.3630854623472022</v>
      </c>
      <c r="F15">
        <v>15</v>
      </c>
      <c r="G15">
        <v>44</v>
      </c>
      <c r="H15">
        <v>25.36</v>
      </c>
      <c r="I15" s="3">
        <v>17.02</v>
      </c>
      <c r="J15">
        <v>16.760000000000002</v>
      </c>
      <c r="K15" s="3">
        <v>13.07</v>
      </c>
      <c r="L15" s="3">
        <v>65.2</v>
      </c>
      <c r="M15">
        <v>65.099999999999994</v>
      </c>
      <c r="O15" t="s">
        <v>28</v>
      </c>
      <c r="P15">
        <v>-1.9119919544317469E-2</v>
      </c>
    </row>
    <row r="16" spans="1:27">
      <c r="A16" t="s">
        <v>66</v>
      </c>
      <c r="B16" t="s">
        <v>67</v>
      </c>
      <c r="C16" t="s">
        <v>44</v>
      </c>
      <c r="D16" s="4">
        <v>14</v>
      </c>
      <c r="E16" s="8">
        <f t="shared" si="0"/>
        <v>8.450267712332062</v>
      </c>
      <c r="F16">
        <v>70</v>
      </c>
      <c r="G16">
        <v>15</v>
      </c>
      <c r="H16">
        <v>14.75</v>
      </c>
      <c r="I16" s="3">
        <v>25.36</v>
      </c>
      <c r="J16">
        <v>13.43</v>
      </c>
      <c r="K16" s="3">
        <v>16.760000000000002</v>
      </c>
      <c r="L16" s="3">
        <v>65.099999999999994</v>
      </c>
      <c r="M16">
        <v>66.400000000000006</v>
      </c>
      <c r="O16" t="s">
        <v>29</v>
      </c>
      <c r="P16">
        <v>3.8043497216265584E-2</v>
      </c>
    </row>
    <row r="17" spans="1:16">
      <c r="A17" t="s">
        <v>43</v>
      </c>
      <c r="B17" t="s">
        <v>44</v>
      </c>
      <c r="C17" t="s">
        <v>68</v>
      </c>
      <c r="D17" s="4">
        <v>14</v>
      </c>
      <c r="E17" s="8">
        <f t="shared" si="0"/>
        <v>9.123512467114212</v>
      </c>
      <c r="F17">
        <v>15</v>
      </c>
      <c r="G17">
        <v>46</v>
      </c>
      <c r="H17">
        <v>25.36</v>
      </c>
      <c r="I17" s="3">
        <v>16.98</v>
      </c>
      <c r="J17">
        <v>16.760000000000002</v>
      </c>
      <c r="K17" s="3">
        <v>12.81</v>
      </c>
      <c r="L17" s="3">
        <v>67.8</v>
      </c>
      <c r="M17">
        <v>65.099999999999994</v>
      </c>
      <c r="O17" t="s">
        <v>30</v>
      </c>
      <c r="P17">
        <v>0.29103643185503086</v>
      </c>
    </row>
    <row r="18" spans="1:16" ht="15" thickBot="1">
      <c r="A18" t="s">
        <v>69</v>
      </c>
      <c r="B18" t="s">
        <v>70</v>
      </c>
      <c r="C18" t="s">
        <v>44</v>
      </c>
      <c r="D18" s="4">
        <v>5</v>
      </c>
      <c r="E18" s="8">
        <f t="shared" si="0"/>
        <v>7.579123211345177</v>
      </c>
      <c r="F18">
        <v>104</v>
      </c>
      <c r="G18">
        <v>15</v>
      </c>
      <c r="H18">
        <v>13.88</v>
      </c>
      <c r="I18" s="3">
        <v>25.36</v>
      </c>
      <c r="J18">
        <v>10.27</v>
      </c>
      <c r="K18" s="3">
        <v>16.760000000000002</v>
      </c>
      <c r="L18" s="3">
        <v>65.099999999999994</v>
      </c>
      <c r="M18">
        <v>69.3</v>
      </c>
      <c r="O18" s="1" t="s">
        <v>31</v>
      </c>
      <c r="P18" s="1">
        <v>-0.21270311490936383</v>
      </c>
    </row>
    <row r="19" spans="1:16">
      <c r="A19" t="s">
        <v>71</v>
      </c>
      <c r="B19" t="s">
        <v>72</v>
      </c>
      <c r="C19" t="s">
        <v>44</v>
      </c>
      <c r="D19" s="4">
        <v>7</v>
      </c>
      <c r="E19" s="8">
        <f t="shared" si="0"/>
        <v>8.1161398950555999</v>
      </c>
      <c r="F19">
        <v>27</v>
      </c>
      <c r="G19">
        <v>15</v>
      </c>
      <c r="H19">
        <v>19.53</v>
      </c>
      <c r="I19" s="3">
        <v>25.36</v>
      </c>
      <c r="J19">
        <v>14.36</v>
      </c>
      <c r="K19" s="3">
        <v>16.760000000000002</v>
      </c>
      <c r="L19" s="3">
        <v>65.099999999999994</v>
      </c>
      <c r="M19">
        <v>68.099999999999994</v>
      </c>
    </row>
    <row r="20" spans="1:16">
      <c r="A20" t="s">
        <v>43</v>
      </c>
      <c r="B20" t="s">
        <v>44</v>
      </c>
      <c r="C20" t="s">
        <v>73</v>
      </c>
      <c r="D20" s="4">
        <v>8</v>
      </c>
      <c r="E20" s="8">
        <f t="shared" si="0"/>
        <v>9.0112383947009942</v>
      </c>
      <c r="F20">
        <v>15</v>
      </c>
      <c r="G20">
        <v>37</v>
      </c>
      <c r="H20">
        <v>25.36</v>
      </c>
      <c r="I20" s="3">
        <v>19.079999999999998</v>
      </c>
      <c r="J20">
        <v>16.760000000000002</v>
      </c>
      <c r="K20" s="3">
        <v>15.21</v>
      </c>
      <c r="L20" s="3">
        <v>67.3</v>
      </c>
      <c r="M20">
        <v>65.099999999999994</v>
      </c>
    </row>
    <row r="21" spans="1:16">
      <c r="A21" t="s">
        <v>43</v>
      </c>
      <c r="B21" t="s">
        <v>44</v>
      </c>
      <c r="C21" t="s">
        <v>74</v>
      </c>
      <c r="D21" s="4">
        <v>10</v>
      </c>
      <c r="E21" s="8">
        <f t="shared" si="0"/>
        <v>9.7757376732011583</v>
      </c>
      <c r="F21">
        <v>15</v>
      </c>
      <c r="G21">
        <v>21</v>
      </c>
      <c r="H21">
        <v>25.36</v>
      </c>
      <c r="I21" s="3">
        <v>23.45</v>
      </c>
      <c r="J21">
        <v>16.760000000000002</v>
      </c>
      <c r="K21" s="3">
        <v>16.57</v>
      </c>
      <c r="L21" s="3">
        <v>70.099999999999994</v>
      </c>
      <c r="M21">
        <v>65.099999999999994</v>
      </c>
    </row>
    <row r="22" spans="1:16">
      <c r="A22" t="s">
        <v>43</v>
      </c>
      <c r="B22" t="s">
        <v>44</v>
      </c>
      <c r="C22" t="s">
        <v>75</v>
      </c>
      <c r="D22" s="4">
        <v>7</v>
      </c>
      <c r="E22" s="8">
        <f t="shared" si="0"/>
        <v>9.2832988490019748</v>
      </c>
      <c r="F22">
        <v>15</v>
      </c>
      <c r="G22">
        <v>45</v>
      </c>
      <c r="H22">
        <v>25.36</v>
      </c>
      <c r="I22" s="3">
        <v>16.98</v>
      </c>
      <c r="J22">
        <v>16.760000000000002</v>
      </c>
      <c r="K22" s="3">
        <v>14.13</v>
      </c>
      <c r="L22" s="3">
        <v>68.2</v>
      </c>
      <c r="M22">
        <v>65.099999999999994</v>
      </c>
    </row>
    <row r="23" spans="1:16">
      <c r="A23" t="s">
        <v>76</v>
      </c>
      <c r="B23" t="s">
        <v>77</v>
      </c>
      <c r="C23" t="s">
        <v>44</v>
      </c>
      <c r="D23" s="4">
        <v>4</v>
      </c>
      <c r="E23" s="8">
        <f t="shared" si="0"/>
        <v>7.8955988505732613</v>
      </c>
      <c r="F23">
        <v>62</v>
      </c>
      <c r="G23">
        <v>15</v>
      </c>
      <c r="H23">
        <v>15.65</v>
      </c>
      <c r="I23" s="3">
        <v>25.36</v>
      </c>
      <c r="J23">
        <v>12.79</v>
      </c>
      <c r="K23" s="3">
        <v>16.760000000000002</v>
      </c>
      <c r="L23" s="3">
        <v>65.099999999999994</v>
      </c>
      <c r="M23">
        <v>69.099999999999994</v>
      </c>
    </row>
    <row r="24" spans="1:16">
      <c r="A24" t="s">
        <v>43</v>
      </c>
      <c r="B24" t="s">
        <v>44</v>
      </c>
      <c r="C24" t="s">
        <v>78</v>
      </c>
      <c r="D24" s="4">
        <v>13</v>
      </c>
      <c r="E24" s="8">
        <f t="shared" si="0"/>
        <v>9.4219386036958372</v>
      </c>
      <c r="F24">
        <v>15</v>
      </c>
      <c r="G24">
        <v>57</v>
      </c>
      <c r="H24">
        <v>25.36</v>
      </c>
      <c r="I24" s="3">
        <v>14.39</v>
      </c>
      <c r="J24">
        <v>16.760000000000002</v>
      </c>
      <c r="K24" s="3">
        <v>12.67</v>
      </c>
      <c r="L24" s="3">
        <v>68.599999999999994</v>
      </c>
      <c r="M24">
        <v>65.099999999999994</v>
      </c>
    </row>
    <row r="25" spans="1:16">
      <c r="A25" t="s">
        <v>79</v>
      </c>
      <c r="B25" t="s">
        <v>74</v>
      </c>
      <c r="C25" t="s">
        <v>44</v>
      </c>
      <c r="D25" s="4">
        <v>7</v>
      </c>
      <c r="E25" s="8">
        <f t="shared" si="0"/>
        <v>7.3429150301744084</v>
      </c>
      <c r="F25">
        <v>21</v>
      </c>
      <c r="G25">
        <v>15</v>
      </c>
      <c r="H25">
        <v>23.45</v>
      </c>
      <c r="I25" s="3">
        <v>25.36</v>
      </c>
      <c r="J25">
        <v>16.57</v>
      </c>
      <c r="K25" s="3">
        <v>16.760000000000002</v>
      </c>
      <c r="L25" s="3">
        <v>65.099999999999994</v>
      </c>
      <c r="M25">
        <v>70.099999999999994</v>
      </c>
    </row>
    <row r="26" spans="1:16">
      <c r="A26" t="s">
        <v>43</v>
      </c>
      <c r="B26" t="s">
        <v>44</v>
      </c>
      <c r="C26" t="s">
        <v>80</v>
      </c>
      <c r="D26" s="4">
        <v>12</v>
      </c>
      <c r="E26" s="8">
        <f t="shared" si="0"/>
        <v>9.0306165722315992</v>
      </c>
      <c r="F26">
        <v>15</v>
      </c>
      <c r="G26">
        <v>12</v>
      </c>
      <c r="H26">
        <v>25.36</v>
      </c>
      <c r="I26" s="3">
        <v>26.57</v>
      </c>
      <c r="J26">
        <v>16.760000000000002</v>
      </c>
      <c r="K26" s="3">
        <v>14.53</v>
      </c>
      <c r="L26" s="3">
        <v>68</v>
      </c>
      <c r="M26">
        <v>65.099999999999994</v>
      </c>
    </row>
    <row r="27" spans="1:16">
      <c r="A27" t="s">
        <v>81</v>
      </c>
      <c r="B27" t="s">
        <v>82</v>
      </c>
      <c r="C27" t="s">
        <v>44</v>
      </c>
      <c r="D27" s="4">
        <v>8</v>
      </c>
      <c r="E27" s="8">
        <f t="shared" si="0"/>
        <v>7.6130108159968515</v>
      </c>
      <c r="F27">
        <v>7</v>
      </c>
      <c r="G27">
        <v>15</v>
      </c>
      <c r="H27">
        <v>28.48</v>
      </c>
      <c r="I27" s="3">
        <v>25.36</v>
      </c>
      <c r="J27">
        <v>14.72</v>
      </c>
      <c r="K27" s="3">
        <v>16.760000000000002</v>
      </c>
      <c r="L27" s="3">
        <v>65.099999999999994</v>
      </c>
      <c r="M27">
        <v>67.5</v>
      </c>
    </row>
    <row r="28" spans="1:16">
      <c r="A28" t="s">
        <v>83</v>
      </c>
      <c r="B28" t="s">
        <v>75</v>
      </c>
      <c r="C28" t="s">
        <v>44</v>
      </c>
      <c r="D28" s="4">
        <v>5</v>
      </c>
      <c r="E28" s="8">
        <f t="shared" si="0"/>
        <v>7.8052848208159524</v>
      </c>
      <c r="F28">
        <v>45</v>
      </c>
      <c r="G28">
        <v>15</v>
      </c>
      <c r="H28">
        <v>19.489999999999998</v>
      </c>
      <c r="I28" s="3">
        <v>25.36</v>
      </c>
      <c r="J28">
        <v>13.12</v>
      </c>
      <c r="K28" s="3">
        <v>16.760000000000002</v>
      </c>
      <c r="L28" s="3">
        <v>65.099999999999994</v>
      </c>
      <c r="M28">
        <v>68.7</v>
      </c>
    </row>
    <row r="29" spans="1:16">
      <c r="A29" t="s">
        <v>43</v>
      </c>
      <c r="B29" t="s">
        <v>44</v>
      </c>
      <c r="C29" t="s">
        <v>84</v>
      </c>
      <c r="D29" s="4">
        <v>8</v>
      </c>
      <c r="E29" s="8">
        <f t="shared" si="0"/>
        <v>8.190275296249256</v>
      </c>
      <c r="F29">
        <v>15</v>
      </c>
      <c r="G29">
        <v>20</v>
      </c>
      <c r="H29">
        <v>25.36</v>
      </c>
      <c r="I29" s="3">
        <v>23.46</v>
      </c>
      <c r="J29">
        <v>16.760000000000002</v>
      </c>
      <c r="K29" s="3">
        <v>14.09</v>
      </c>
      <c r="L29" s="3">
        <v>65</v>
      </c>
      <c r="M29">
        <v>65.099999999999994</v>
      </c>
    </row>
    <row r="30" spans="1:16">
      <c r="A30" t="s">
        <v>43</v>
      </c>
      <c r="B30" t="s">
        <v>44</v>
      </c>
      <c r="C30" t="s">
        <v>67</v>
      </c>
      <c r="D30" s="4">
        <v>9</v>
      </c>
      <c r="E30" s="8">
        <f t="shared" si="0"/>
        <v>9.6466175508777692</v>
      </c>
      <c r="F30">
        <v>15</v>
      </c>
      <c r="G30">
        <v>70</v>
      </c>
      <c r="H30">
        <v>25.36</v>
      </c>
      <c r="I30" s="3">
        <v>11.5</v>
      </c>
      <c r="J30">
        <v>16.760000000000002</v>
      </c>
      <c r="K30" s="3">
        <v>14.07</v>
      </c>
      <c r="L30" s="3">
        <v>68.900000000000006</v>
      </c>
      <c r="M30">
        <v>65.099999999999994</v>
      </c>
    </row>
    <row r="31" spans="1:16">
      <c r="A31" t="s">
        <v>85</v>
      </c>
      <c r="B31" t="s">
        <v>86</v>
      </c>
      <c r="C31" t="s">
        <v>44</v>
      </c>
      <c r="D31" s="4">
        <v>12</v>
      </c>
      <c r="E31" s="8">
        <f t="shared" si="0"/>
        <v>6.9976620127201308</v>
      </c>
      <c r="F31">
        <v>17</v>
      </c>
      <c r="G31">
        <v>15</v>
      </c>
      <c r="H31">
        <v>24.32</v>
      </c>
      <c r="I31" s="3">
        <v>25.36</v>
      </c>
      <c r="J31">
        <v>17.14</v>
      </c>
      <c r="K31" s="3">
        <v>16.760000000000002</v>
      </c>
      <c r="L31" s="3">
        <v>65.099999999999994</v>
      </c>
      <c r="M31">
        <v>71.5</v>
      </c>
    </row>
    <row r="32" spans="1:16">
      <c r="A32" t="s">
        <v>87</v>
      </c>
      <c r="B32" t="s">
        <v>44</v>
      </c>
      <c r="C32" t="s">
        <v>88</v>
      </c>
      <c r="D32" s="4">
        <v>11</v>
      </c>
      <c r="E32" s="8">
        <f t="shared" ref="E32" si="1">$P$10+(F32*$P$11)+($P$12*G32)+($P$13*H32)+($P$14*I32)+($P$15*J32)+($P$16*K32)+($P$17*L32)+($P$18*M32)</f>
        <v>9.9919219880437051</v>
      </c>
      <c r="F32">
        <v>2</v>
      </c>
      <c r="G32">
        <v>280</v>
      </c>
      <c r="H32">
        <v>32.71</v>
      </c>
      <c r="I32" s="3">
        <v>-9.4700000000000006</v>
      </c>
      <c r="J32">
        <v>5.9</v>
      </c>
      <c r="K32" s="3">
        <v>1.71</v>
      </c>
      <c r="L32" s="3">
        <v>68.8</v>
      </c>
      <c r="M32">
        <v>66.099999999999994</v>
      </c>
    </row>
    <row r="33" spans="1:16" s="6" customFormat="1" hidden="1">
      <c r="A33" s="6" t="s">
        <v>87</v>
      </c>
      <c r="B33" s="6" t="s">
        <v>44</v>
      </c>
      <c r="C33" s="6" t="s">
        <v>88</v>
      </c>
      <c r="D33" s="5">
        <v>11</v>
      </c>
      <c r="E33" s="8">
        <f t="shared" si="0"/>
        <v>9.9919219880437051</v>
      </c>
      <c r="F33" s="6">
        <v>2</v>
      </c>
      <c r="G33" s="6">
        <v>280</v>
      </c>
      <c r="H33" s="6">
        <v>32.71</v>
      </c>
      <c r="I33" s="7">
        <v>-9.4700000000000006</v>
      </c>
      <c r="J33" s="6">
        <v>5.9</v>
      </c>
      <c r="K33" s="7">
        <v>1.71</v>
      </c>
      <c r="L33" s="7">
        <v>68.8</v>
      </c>
      <c r="M33" s="6">
        <v>66.099999999999994</v>
      </c>
      <c r="P33" s="7"/>
    </row>
    <row r="34" spans="1:16">
      <c r="A34" t="s">
        <v>89</v>
      </c>
      <c r="B34" t="s">
        <v>44</v>
      </c>
      <c r="C34" t="s">
        <v>90</v>
      </c>
      <c r="D34" s="4">
        <v>9</v>
      </c>
      <c r="E34" s="8">
        <f t="shared" si="0"/>
        <v>10.180215168306743</v>
      </c>
      <c r="F34">
        <v>2</v>
      </c>
      <c r="G34">
        <v>144</v>
      </c>
      <c r="H34">
        <v>32.71</v>
      </c>
      <c r="I34" s="3">
        <v>1.81</v>
      </c>
      <c r="J34">
        <v>5.9</v>
      </c>
      <c r="K34" s="3">
        <v>13.8</v>
      </c>
      <c r="L34" s="3">
        <v>71</v>
      </c>
      <c r="M34">
        <v>66.099999999999994</v>
      </c>
    </row>
    <row r="35" spans="1:16" hidden="1">
      <c r="A35" s="6" t="s">
        <v>89</v>
      </c>
      <c r="B35" s="6" t="s">
        <v>44</v>
      </c>
      <c r="C35" s="6" t="s">
        <v>90</v>
      </c>
      <c r="D35" s="5">
        <v>9</v>
      </c>
      <c r="E35" s="8">
        <f t="shared" si="0"/>
        <v>10.180215168306743</v>
      </c>
      <c r="F35" s="6">
        <v>2</v>
      </c>
      <c r="G35">
        <v>144</v>
      </c>
      <c r="H35" s="6">
        <v>32.71</v>
      </c>
      <c r="I35" s="7">
        <v>1.81</v>
      </c>
      <c r="J35" s="6">
        <v>5.9</v>
      </c>
      <c r="K35" s="7">
        <v>13.8</v>
      </c>
      <c r="L35" s="7">
        <v>71</v>
      </c>
      <c r="M35" s="6">
        <v>66.099999999999994</v>
      </c>
    </row>
    <row r="36" spans="1:16">
      <c r="A36" t="s">
        <v>91</v>
      </c>
      <c r="B36" t="s">
        <v>47</v>
      </c>
      <c r="C36" t="s">
        <v>44</v>
      </c>
      <c r="D36" s="4">
        <v>4</v>
      </c>
      <c r="E36" s="8">
        <f t="shared" si="0"/>
        <v>6.0734922659431589</v>
      </c>
      <c r="F36">
        <v>12</v>
      </c>
      <c r="G36">
        <v>2</v>
      </c>
      <c r="H36">
        <v>26.56</v>
      </c>
      <c r="I36" s="3">
        <v>32.71</v>
      </c>
      <c r="J36">
        <v>17.989999999999998</v>
      </c>
      <c r="K36" s="3">
        <v>5.9</v>
      </c>
      <c r="L36" s="3">
        <v>66.099999999999994</v>
      </c>
      <c r="M36">
        <v>74.099999999999994</v>
      </c>
    </row>
    <row r="37" spans="1:16" s="6" customFormat="1" hidden="1">
      <c r="A37" s="6" t="s">
        <v>91</v>
      </c>
      <c r="B37" s="6" t="s">
        <v>47</v>
      </c>
      <c r="C37" s="6" t="s">
        <v>44</v>
      </c>
      <c r="D37" s="5">
        <v>4</v>
      </c>
      <c r="E37" s="8">
        <f t="shared" si="0"/>
        <v>6.0734922659431589</v>
      </c>
      <c r="F37" s="6">
        <v>12</v>
      </c>
      <c r="G37">
        <v>2</v>
      </c>
      <c r="H37" s="6">
        <v>26.56</v>
      </c>
      <c r="I37" s="7">
        <v>32.71</v>
      </c>
      <c r="J37" s="6">
        <v>17.989999999999998</v>
      </c>
      <c r="K37" s="7">
        <v>5.9</v>
      </c>
      <c r="L37" s="7">
        <v>66.099999999999994</v>
      </c>
      <c r="M37" s="6">
        <v>74.099999999999994</v>
      </c>
      <c r="P37" s="7"/>
    </row>
    <row r="38" spans="1:16">
      <c r="A38" t="s">
        <v>89</v>
      </c>
      <c r="B38" t="s">
        <v>44</v>
      </c>
      <c r="C38" t="s">
        <v>92</v>
      </c>
      <c r="D38" s="4">
        <v>10</v>
      </c>
      <c r="E38" s="8">
        <f t="shared" si="0"/>
        <v>9.1268694906592014</v>
      </c>
      <c r="F38">
        <v>2</v>
      </c>
      <c r="G38">
        <v>57</v>
      </c>
      <c r="H38">
        <v>32.71</v>
      </c>
      <c r="I38" s="3">
        <v>14.23</v>
      </c>
      <c r="J38">
        <v>5.9</v>
      </c>
      <c r="K38" s="3">
        <v>-4.1399999999999997</v>
      </c>
      <c r="L38" s="3">
        <v>71.7</v>
      </c>
      <c r="M38">
        <v>66.099999999999994</v>
      </c>
    </row>
    <row r="39" spans="1:16" s="6" customFormat="1" hidden="1">
      <c r="A39" s="6" t="s">
        <v>89</v>
      </c>
      <c r="B39" s="6" t="s">
        <v>44</v>
      </c>
      <c r="C39" s="6" t="s">
        <v>92</v>
      </c>
      <c r="D39" s="5">
        <v>10</v>
      </c>
      <c r="E39" s="8">
        <f t="shared" si="0"/>
        <v>9.1268694906592014</v>
      </c>
      <c r="F39" s="6">
        <v>2</v>
      </c>
      <c r="G39">
        <v>57</v>
      </c>
      <c r="H39" s="6">
        <v>32.71</v>
      </c>
      <c r="I39" s="7">
        <v>14.23</v>
      </c>
      <c r="J39" s="6">
        <v>5.9</v>
      </c>
      <c r="K39" s="7">
        <v>-4.1399999999999997</v>
      </c>
      <c r="L39" s="7">
        <v>71.7</v>
      </c>
      <c r="M39" s="6">
        <v>66.099999999999994</v>
      </c>
      <c r="P39" s="7"/>
    </row>
    <row r="40" spans="1:16">
      <c r="A40" t="s">
        <v>93</v>
      </c>
      <c r="B40" t="s">
        <v>94</v>
      </c>
      <c r="C40" t="s">
        <v>44</v>
      </c>
      <c r="D40" s="4">
        <v>12</v>
      </c>
      <c r="E40" s="8">
        <f t="shared" si="0"/>
        <v>7.8620525604831339</v>
      </c>
      <c r="F40">
        <v>73</v>
      </c>
      <c r="G40">
        <v>2</v>
      </c>
      <c r="H40">
        <v>11.91</v>
      </c>
      <c r="I40" s="3">
        <v>32.71</v>
      </c>
      <c r="J40">
        <v>7.27</v>
      </c>
      <c r="K40" s="3">
        <v>5.9</v>
      </c>
      <c r="L40" s="3">
        <v>66.099999999999994</v>
      </c>
      <c r="M40">
        <v>69.900000000000006</v>
      </c>
    </row>
    <row r="41" spans="1:16" s="6" customFormat="1" hidden="1">
      <c r="A41" s="6" t="s">
        <v>93</v>
      </c>
      <c r="B41" s="6" t="s">
        <v>94</v>
      </c>
      <c r="C41" s="6" t="s">
        <v>44</v>
      </c>
      <c r="D41" s="5">
        <v>12</v>
      </c>
      <c r="E41" s="8">
        <f t="shared" si="0"/>
        <v>7.8620525604831339</v>
      </c>
      <c r="F41" s="6">
        <v>73</v>
      </c>
      <c r="G41">
        <v>2</v>
      </c>
      <c r="H41" s="6">
        <v>11.91</v>
      </c>
      <c r="I41" s="7">
        <v>32.71</v>
      </c>
      <c r="J41" s="6">
        <v>7.27</v>
      </c>
      <c r="K41" s="7">
        <v>5.9</v>
      </c>
      <c r="L41" s="7">
        <v>66.099999999999994</v>
      </c>
      <c r="M41" s="6">
        <v>69.900000000000006</v>
      </c>
      <c r="P41" s="7"/>
    </row>
    <row r="42" spans="1:16">
      <c r="A42" t="s">
        <v>93</v>
      </c>
      <c r="B42" t="s">
        <v>95</v>
      </c>
      <c r="C42" t="s">
        <v>44</v>
      </c>
      <c r="D42" s="4">
        <v>7</v>
      </c>
      <c r="E42" s="8">
        <f t="shared" si="0"/>
        <v>8.196336303393652</v>
      </c>
      <c r="F42">
        <v>30</v>
      </c>
      <c r="G42">
        <v>2</v>
      </c>
      <c r="H42">
        <v>19.82</v>
      </c>
      <c r="I42" s="3">
        <v>32.71</v>
      </c>
      <c r="J42">
        <v>4.2699999999999996</v>
      </c>
      <c r="K42" s="3">
        <v>5.9</v>
      </c>
      <c r="L42" s="3">
        <v>66.099999999999994</v>
      </c>
      <c r="M42">
        <v>67.400000000000006</v>
      </c>
    </row>
    <row r="43" spans="1:16" s="6" customFormat="1" hidden="1">
      <c r="A43" s="6" t="s">
        <v>93</v>
      </c>
      <c r="B43" s="6" t="s">
        <v>95</v>
      </c>
      <c r="C43" s="6" t="s">
        <v>44</v>
      </c>
      <c r="D43" s="5">
        <v>7</v>
      </c>
      <c r="E43" s="8">
        <f t="shared" si="0"/>
        <v>8.196336303393652</v>
      </c>
      <c r="F43" s="6">
        <v>30</v>
      </c>
      <c r="G43">
        <v>2</v>
      </c>
      <c r="H43" s="6">
        <v>19.82</v>
      </c>
      <c r="I43" s="7">
        <v>32.71</v>
      </c>
      <c r="J43" s="6">
        <v>4.2699999999999996</v>
      </c>
      <c r="K43" s="7">
        <v>5.9</v>
      </c>
      <c r="L43" s="7">
        <v>66.099999999999994</v>
      </c>
      <c r="M43" s="6">
        <v>67.400000000000006</v>
      </c>
      <c r="P43" s="7"/>
    </row>
    <row r="44" spans="1:16" s="11" customFormat="1">
      <c r="A44" s="11" t="s">
        <v>43</v>
      </c>
      <c r="B44" s="11" t="s">
        <v>44</v>
      </c>
      <c r="C44" s="11" t="s">
        <v>96</v>
      </c>
      <c r="D44" s="12">
        <v>10</v>
      </c>
      <c r="E44" s="8">
        <f t="shared" si="0"/>
        <v>9.9690128312068982</v>
      </c>
      <c r="F44">
        <v>2</v>
      </c>
      <c r="G44">
        <v>332</v>
      </c>
      <c r="H44">
        <v>32.71</v>
      </c>
      <c r="I44" s="3">
        <v>-15.41</v>
      </c>
      <c r="J44">
        <v>5.9</v>
      </c>
      <c r="K44" s="3">
        <v>6.55</v>
      </c>
      <c r="L44" s="3">
        <v>66.900000000000006</v>
      </c>
      <c r="M44">
        <v>66.099999999999994</v>
      </c>
      <c r="P44" s="13"/>
    </row>
    <row r="45" spans="1:16" s="6" customFormat="1" hidden="1">
      <c r="A45" s="6" t="s">
        <v>43</v>
      </c>
      <c r="B45" s="6" t="s">
        <v>44</v>
      </c>
      <c r="C45" s="6" t="s">
        <v>96</v>
      </c>
      <c r="D45" s="5">
        <v>10</v>
      </c>
      <c r="E45" s="8">
        <f t="shared" si="0"/>
        <v>9.9690128312068982</v>
      </c>
      <c r="F45" s="6">
        <v>2</v>
      </c>
      <c r="G45" s="6">
        <v>332</v>
      </c>
      <c r="H45" s="6">
        <v>32.71</v>
      </c>
      <c r="I45" s="7">
        <v>-15.41</v>
      </c>
      <c r="J45" s="6">
        <v>5.9</v>
      </c>
      <c r="K45" s="7">
        <v>6.55</v>
      </c>
      <c r="L45" s="7">
        <v>66.900000000000006</v>
      </c>
      <c r="M45" s="6">
        <v>66.099999999999994</v>
      </c>
      <c r="P45" s="7"/>
    </row>
    <row r="46" spans="1:16">
      <c r="A46" t="s">
        <v>97</v>
      </c>
      <c r="B46" t="s">
        <v>67</v>
      </c>
      <c r="C46" t="s">
        <v>44</v>
      </c>
      <c r="D46" s="4">
        <v>8</v>
      </c>
      <c r="E46" s="8">
        <f t="shared" si="0"/>
        <v>8.9473738608134266</v>
      </c>
      <c r="F46">
        <v>125</v>
      </c>
      <c r="G46">
        <v>2</v>
      </c>
      <c r="H46">
        <v>3.91</v>
      </c>
      <c r="I46" s="3">
        <v>32.71</v>
      </c>
      <c r="J46">
        <v>-2.29</v>
      </c>
      <c r="K46" s="3">
        <v>5.9</v>
      </c>
      <c r="L46" s="3">
        <v>66.099999999999994</v>
      </c>
      <c r="M46">
        <v>66.400000000000006</v>
      </c>
    </row>
    <row r="47" spans="1:16" s="6" customFormat="1" hidden="1">
      <c r="A47" s="6" t="s">
        <v>97</v>
      </c>
      <c r="B47" s="6" t="s">
        <v>67</v>
      </c>
      <c r="C47" s="6" t="s">
        <v>44</v>
      </c>
      <c r="D47" s="5">
        <v>8</v>
      </c>
      <c r="E47" s="8">
        <f t="shared" si="0"/>
        <v>8.9473738608134266</v>
      </c>
      <c r="F47" s="6">
        <v>125</v>
      </c>
      <c r="G47">
        <v>2</v>
      </c>
      <c r="H47" s="6">
        <v>3.91</v>
      </c>
      <c r="I47" s="7">
        <v>32.71</v>
      </c>
      <c r="J47" s="6">
        <v>-2.29</v>
      </c>
      <c r="K47" s="7">
        <v>5.9</v>
      </c>
      <c r="L47" s="7">
        <v>66.099999999999994</v>
      </c>
      <c r="M47" s="6">
        <v>66.400000000000006</v>
      </c>
      <c r="P47" s="7"/>
    </row>
    <row r="48" spans="1:16">
      <c r="A48" t="s">
        <v>87</v>
      </c>
      <c r="B48" s="2" t="s">
        <v>44</v>
      </c>
      <c r="C48" s="2" t="s">
        <v>98</v>
      </c>
      <c r="D48" s="4">
        <v>8</v>
      </c>
      <c r="E48" s="8">
        <f t="shared" si="0"/>
        <v>8.4258550933911369</v>
      </c>
      <c r="F48">
        <v>2</v>
      </c>
      <c r="G48">
        <v>5</v>
      </c>
      <c r="H48">
        <v>32.71</v>
      </c>
      <c r="I48" s="3">
        <v>30.33</v>
      </c>
      <c r="J48">
        <v>5.9</v>
      </c>
      <c r="K48" s="3">
        <v>-2.4500000000000002</v>
      </c>
      <c r="L48" s="3">
        <v>70.2</v>
      </c>
      <c r="M48">
        <v>66.099999999999994</v>
      </c>
    </row>
    <row r="49" spans="1:16" s="6" customFormat="1" hidden="1">
      <c r="A49" s="6" t="s">
        <v>87</v>
      </c>
      <c r="B49" s="8" t="s">
        <v>44</v>
      </c>
      <c r="C49" s="8" t="s">
        <v>98</v>
      </c>
      <c r="D49" s="5">
        <v>8</v>
      </c>
      <c r="E49" s="8">
        <f t="shared" si="0"/>
        <v>8.4258550933911369</v>
      </c>
      <c r="F49" s="6">
        <v>2</v>
      </c>
      <c r="G49">
        <v>5</v>
      </c>
      <c r="H49" s="6">
        <v>32.71</v>
      </c>
      <c r="I49" s="7">
        <v>30.33</v>
      </c>
      <c r="J49" s="6">
        <v>5.9</v>
      </c>
      <c r="K49" s="7">
        <v>-2.4500000000000002</v>
      </c>
      <c r="L49" s="7">
        <v>70.2</v>
      </c>
      <c r="M49" s="6">
        <v>66.099999999999994</v>
      </c>
      <c r="P49" s="7"/>
    </row>
    <row r="50" spans="1:16">
      <c r="A50" t="s">
        <v>87</v>
      </c>
      <c r="B50" s="2" t="s">
        <v>44</v>
      </c>
      <c r="C50" s="2" t="s">
        <v>64</v>
      </c>
      <c r="D50" s="5"/>
      <c r="E50" s="8">
        <f t="shared" si="0"/>
        <v>7.7214479653512775</v>
      </c>
      <c r="F50">
        <v>6</v>
      </c>
      <c r="G50">
        <v>112</v>
      </c>
      <c r="H50">
        <v>29.7</v>
      </c>
      <c r="I50" s="3">
        <v>5.91</v>
      </c>
      <c r="J50">
        <v>9.25</v>
      </c>
      <c r="K50" s="3">
        <v>-2.23</v>
      </c>
      <c r="L50" s="3">
        <v>64.400000000000006</v>
      </c>
      <c r="M50">
        <v>65.599999999999994</v>
      </c>
    </row>
    <row r="51" spans="1:16">
      <c r="A51" t="s">
        <v>87</v>
      </c>
      <c r="B51" s="2" t="s">
        <v>44</v>
      </c>
      <c r="C51" s="2" t="s">
        <v>49</v>
      </c>
      <c r="D51" s="5"/>
      <c r="E51" s="8">
        <f t="shared" si="0"/>
        <v>9.6001086536000457</v>
      </c>
      <c r="F51">
        <v>6</v>
      </c>
      <c r="G51">
        <v>92</v>
      </c>
      <c r="H51">
        <v>29.7</v>
      </c>
      <c r="I51" s="3">
        <v>8.0500000000000007</v>
      </c>
      <c r="J51">
        <v>9.25</v>
      </c>
      <c r="K51" s="3">
        <v>-0.6</v>
      </c>
      <c r="L51" s="3">
        <v>71.099999999999994</v>
      </c>
      <c r="M51">
        <v>65.599999999999994</v>
      </c>
    </row>
    <row r="52" spans="1:16">
      <c r="A52" t="s">
        <v>99</v>
      </c>
      <c r="B52" s="2" t="s">
        <v>44</v>
      </c>
      <c r="C52" s="2" t="s">
        <v>60</v>
      </c>
      <c r="D52" s="5"/>
      <c r="E52" s="8"/>
    </row>
    <row r="53" spans="1:16">
      <c r="A53" t="s">
        <v>87</v>
      </c>
      <c r="B53" t="s">
        <v>44</v>
      </c>
      <c r="C53" t="s">
        <v>100</v>
      </c>
      <c r="D53" s="5"/>
      <c r="E53" s="8"/>
    </row>
    <row r="54" spans="1:16">
      <c r="A54" t="s">
        <v>101</v>
      </c>
      <c r="B54" t="s">
        <v>80</v>
      </c>
      <c r="C54" t="s">
        <v>44</v>
      </c>
      <c r="D54" s="5"/>
      <c r="E54" s="8"/>
    </row>
    <row r="55" spans="1:16">
      <c r="A55" t="s">
        <v>87</v>
      </c>
      <c r="B55" t="s">
        <v>44</v>
      </c>
      <c r="C55" t="s">
        <v>70</v>
      </c>
      <c r="D55" s="5"/>
      <c r="E55" s="8"/>
    </row>
    <row r="56" spans="1:16">
      <c r="A56" t="s">
        <v>87</v>
      </c>
      <c r="B56" t="s">
        <v>44</v>
      </c>
      <c r="C56" t="s">
        <v>55</v>
      </c>
      <c r="D56" s="5"/>
      <c r="E56" s="8"/>
    </row>
    <row r="57" spans="1:16">
      <c r="A57" t="s">
        <v>87</v>
      </c>
      <c r="B57" t="s">
        <v>44</v>
      </c>
      <c r="C57" t="s">
        <v>77</v>
      </c>
      <c r="D57" s="5"/>
      <c r="E57" s="8"/>
    </row>
    <row r="58" spans="1:16">
      <c r="A58" t="s">
        <v>102</v>
      </c>
      <c r="B58" t="s">
        <v>78</v>
      </c>
      <c r="C58" t="s">
        <v>44</v>
      </c>
      <c r="D58" s="5"/>
      <c r="E58" s="8"/>
    </row>
    <row r="59" spans="1:16">
      <c r="A59" t="s">
        <v>103</v>
      </c>
      <c r="B59" t="s">
        <v>84</v>
      </c>
      <c r="C59" t="s">
        <v>44</v>
      </c>
      <c r="D59" s="5"/>
      <c r="E59" s="8"/>
    </row>
    <row r="60" spans="1:16">
      <c r="A60" t="s">
        <v>87</v>
      </c>
      <c r="B60" t="s">
        <v>44</v>
      </c>
      <c r="C60" t="s">
        <v>86</v>
      </c>
      <c r="D60" s="5"/>
      <c r="E60" s="8"/>
    </row>
    <row r="61" spans="1:16">
      <c r="A61" t="s">
        <v>104</v>
      </c>
      <c r="B61" t="s">
        <v>75</v>
      </c>
      <c r="C61" t="s">
        <v>44</v>
      </c>
      <c r="D61" s="5"/>
      <c r="E61" s="8"/>
    </row>
    <row r="62" spans="1:16">
      <c r="A62" t="s">
        <v>105</v>
      </c>
      <c r="B62" t="s">
        <v>56</v>
      </c>
      <c r="C62" t="s">
        <v>44</v>
      </c>
      <c r="D62" s="5"/>
      <c r="E62" s="8"/>
    </row>
    <row r="63" spans="1:16">
      <c r="A63" t="s">
        <v>87</v>
      </c>
      <c r="B63" t="s">
        <v>44</v>
      </c>
      <c r="C63" t="s">
        <v>72</v>
      </c>
      <c r="D63" s="5"/>
      <c r="E63" s="8"/>
    </row>
    <row r="64" spans="1:16">
      <c r="A64" t="s">
        <v>106</v>
      </c>
      <c r="B64" t="s">
        <v>68</v>
      </c>
      <c r="C64" t="s">
        <v>44</v>
      </c>
      <c r="D64" s="5"/>
      <c r="E64" s="8"/>
    </row>
    <row r="65" spans="1:5">
      <c r="A65" t="s">
        <v>107</v>
      </c>
      <c r="B65" t="s">
        <v>77</v>
      </c>
      <c r="C65" t="s">
        <v>44</v>
      </c>
      <c r="D65" s="5"/>
      <c r="E65" s="8"/>
    </row>
    <row r="66" spans="1:5">
      <c r="A66" t="s">
        <v>87</v>
      </c>
      <c r="B66" t="s">
        <v>44</v>
      </c>
      <c r="C66" t="s">
        <v>74</v>
      </c>
      <c r="D66" s="5"/>
      <c r="E66" s="8"/>
    </row>
    <row r="67" spans="1:5">
      <c r="A67" t="s">
        <v>87</v>
      </c>
      <c r="B67" t="s">
        <v>44</v>
      </c>
      <c r="C67" t="s">
        <v>75</v>
      </c>
      <c r="D67" s="5"/>
      <c r="E67" s="8"/>
    </row>
    <row r="68" spans="1:5">
      <c r="A68" t="s">
        <v>87</v>
      </c>
      <c r="B68" t="s">
        <v>44</v>
      </c>
      <c r="C68" t="s">
        <v>82</v>
      </c>
      <c r="D68" s="5"/>
      <c r="E68" s="8"/>
    </row>
    <row r="69" spans="1:5">
      <c r="A69" t="s">
        <v>108</v>
      </c>
      <c r="B69" t="s">
        <v>73</v>
      </c>
      <c r="C69" t="s">
        <v>44</v>
      </c>
      <c r="D69" s="5"/>
      <c r="E69" s="8"/>
    </row>
    <row r="70" spans="1:5">
      <c r="A70" t="s">
        <v>109</v>
      </c>
      <c r="B70" t="s">
        <v>65</v>
      </c>
      <c r="C70" t="s">
        <v>44</v>
      </c>
      <c r="D70" s="5"/>
      <c r="E70" s="8"/>
    </row>
    <row r="71" spans="1:5">
      <c r="A71" t="s">
        <v>87</v>
      </c>
      <c r="B71" t="s">
        <v>44</v>
      </c>
      <c r="C71" t="s">
        <v>80</v>
      </c>
      <c r="D71" s="5"/>
      <c r="E71" s="8"/>
    </row>
    <row r="74" spans="1:5">
      <c r="A74" s="6" t="s">
        <v>110</v>
      </c>
    </row>
    <row r="75" spans="1:5">
      <c r="A75" s="3" cm="1">
        <f t="array" ref="A75">AVERAGE((ABS(D2:D48))-(ABS(E2:E48)))</f>
        <v>9.0607466678920712E-3</v>
      </c>
    </row>
    <row r="76" spans="1:5">
      <c r="A76" s="6" t="s">
        <v>111</v>
      </c>
    </row>
    <row r="77" spans="1:5">
      <c r="A77" s="3" cm="1">
        <f t="array" ref="A77">_xlfn.STDEV.P(ABS((D2:D49)-(E2:E49)))</f>
        <v>1.4120378121250636</v>
      </c>
    </row>
  </sheetData>
  <conditionalFormatting sqref="E1:E49">
    <cfRule type="expression" dxfId="3" priority="1">
      <formula>ABS(E1-D1)&lt;1.05</formula>
    </cfRule>
    <cfRule type="expression" dxfId="2" priority="2">
      <formula>ABS(E1-D1)&gt;4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7D8F-C332-4C7A-90C0-89D67AE27B6E}">
  <dimension ref="A1:I79"/>
  <sheetViews>
    <sheetView workbookViewId="0">
      <selection activeCell="A16" sqref="A16:B25"/>
    </sheetView>
  </sheetViews>
  <sheetFormatPr defaultRowHeight="14.45"/>
  <cols>
    <col min="1" max="1" width="22.85546875" bestFit="1" customWidth="1"/>
    <col min="2" max="2" width="23.140625" bestFit="1" customWidth="1"/>
    <col min="3" max="3" width="13" bestFit="1" customWidth="1"/>
    <col min="4" max="4" width="12.42578125" bestFit="1" customWidth="1"/>
    <col min="5" max="5" width="11.85546875" bestFit="1" customWidth="1"/>
    <col min="6" max="6" width="12.7109375" bestFit="1" customWidth="1"/>
    <col min="7" max="7" width="11.85546875" bestFit="1" customWidth="1"/>
    <col min="8" max="8" width="12.42578125" bestFit="1" customWidth="1"/>
    <col min="9" max="9" width="12" bestFit="1" customWidth="1"/>
  </cols>
  <sheetData>
    <row r="1" spans="1:9">
      <c r="A1" t="s">
        <v>0</v>
      </c>
    </row>
    <row r="2" spans="1:9" ht="15" thickBot="1"/>
    <row r="3" spans="1:9">
      <c r="A3" s="17" t="s">
        <v>1</v>
      </c>
      <c r="B3" s="17"/>
    </row>
    <row r="4" spans="1:9">
      <c r="A4" s="14" t="s">
        <v>2</v>
      </c>
      <c r="B4" s="14">
        <v>0.88328276517262549</v>
      </c>
    </row>
    <row r="5" spans="1:9">
      <c r="A5" s="14" t="s">
        <v>3</v>
      </c>
      <c r="B5" s="14">
        <v>0.78018844325099945</v>
      </c>
    </row>
    <row r="6" spans="1:9">
      <c r="A6" s="14" t="s">
        <v>4</v>
      </c>
      <c r="B6" s="14">
        <v>0.73509889314864041</v>
      </c>
    </row>
    <row r="7" spans="1:9">
      <c r="A7" s="14" t="s">
        <v>5</v>
      </c>
      <c r="B7" s="14">
        <v>10.334669908717432</v>
      </c>
    </row>
    <row r="8" spans="1:9" ht="15" thickBot="1">
      <c r="A8" s="15" t="s">
        <v>6</v>
      </c>
      <c r="B8" s="15">
        <v>48</v>
      </c>
    </row>
    <row r="10" spans="1:9" ht="15" thickBot="1">
      <c r="A10" t="s">
        <v>7</v>
      </c>
    </row>
    <row r="11" spans="1:9">
      <c r="A11" s="16"/>
      <c r="B11" s="16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</row>
    <row r="12" spans="1:9">
      <c r="A12" s="14" t="s">
        <v>13</v>
      </c>
      <c r="B12" s="14">
        <v>8</v>
      </c>
      <c r="C12" s="14">
        <v>14784.505983902838</v>
      </c>
      <c r="D12" s="14">
        <v>1848.0632479878548</v>
      </c>
      <c r="E12" s="14">
        <v>17.303087777098483</v>
      </c>
      <c r="F12" s="14">
        <v>1.2100694471008647E-10</v>
      </c>
    </row>
    <row r="13" spans="1:9">
      <c r="A13" s="14" t="s">
        <v>14</v>
      </c>
      <c r="B13" s="14">
        <v>39</v>
      </c>
      <c r="C13" s="14">
        <v>4165.4106827638334</v>
      </c>
      <c r="D13" s="14">
        <v>106.80540212214957</v>
      </c>
      <c r="E13" s="14"/>
      <c r="F13" s="14"/>
    </row>
    <row r="14" spans="1:9" ht="15" thickBot="1">
      <c r="A14" s="15" t="s">
        <v>15</v>
      </c>
      <c r="B14" s="15">
        <v>47</v>
      </c>
      <c r="C14" s="15">
        <v>18949.916666666672</v>
      </c>
      <c r="D14" s="15"/>
      <c r="E14" s="15"/>
      <c r="F14" s="15"/>
    </row>
    <row r="15" spans="1:9" ht="15" thickBot="1"/>
    <row r="16" spans="1:9">
      <c r="A16" s="16"/>
      <c r="B16" s="16" t="s">
        <v>16</v>
      </c>
      <c r="C16" s="16" t="s">
        <v>5</v>
      </c>
      <c r="D16" s="16" t="s">
        <v>17</v>
      </c>
      <c r="E16" s="16" t="s">
        <v>18</v>
      </c>
      <c r="F16" s="16" t="s">
        <v>19</v>
      </c>
      <c r="G16" s="16" t="s">
        <v>20</v>
      </c>
      <c r="H16" s="16" t="s">
        <v>21</v>
      </c>
      <c r="I16" s="16" t="s">
        <v>22</v>
      </c>
    </row>
    <row r="17" spans="1:9">
      <c r="A17" s="14" t="s">
        <v>23</v>
      </c>
      <c r="B17" s="14">
        <v>-123.43694045161854</v>
      </c>
      <c r="C17" s="14">
        <v>99.100196337428557</v>
      </c>
      <c r="D17" s="14">
        <v>-1.2455771533622924</v>
      </c>
      <c r="E17" s="14">
        <v>0.22035118927885683</v>
      </c>
      <c r="F17" s="14">
        <v>-323.88600775719544</v>
      </c>
      <c r="G17" s="14">
        <v>77.012126853958335</v>
      </c>
      <c r="H17" s="14">
        <v>-323.88600775719544</v>
      </c>
      <c r="I17" s="14">
        <v>77.012126853958335</v>
      </c>
    </row>
    <row r="18" spans="1:9">
      <c r="A18" s="14" t="s">
        <v>24</v>
      </c>
      <c r="B18" s="14">
        <v>-0.11078066023119391</v>
      </c>
      <c r="C18" s="14">
        <v>0.15769661291713286</v>
      </c>
      <c r="D18" s="14">
        <v>-0.70249232486310564</v>
      </c>
      <c r="E18" s="14">
        <v>0.48654424829860632</v>
      </c>
      <c r="F18" s="14">
        <v>-0.4297521672992301</v>
      </c>
      <c r="G18" s="14">
        <v>0.20819084683684225</v>
      </c>
      <c r="H18" s="14">
        <v>-0.4297521672992301</v>
      </c>
      <c r="I18" s="14">
        <v>0.20819084683684225</v>
      </c>
    </row>
    <row r="19" spans="1:9">
      <c r="A19" s="14" t="s">
        <v>25</v>
      </c>
      <c r="B19" s="14">
        <v>5.79849287414958E-2</v>
      </c>
      <c r="C19" s="14">
        <v>7.8825038810994411E-2</v>
      </c>
      <c r="D19" s="14">
        <v>0.73561560661620806</v>
      </c>
      <c r="E19" s="14">
        <v>0.46636592626672435</v>
      </c>
      <c r="F19" s="14">
        <v>-0.10145376153304778</v>
      </c>
      <c r="G19" s="14">
        <v>0.21742361901603938</v>
      </c>
      <c r="H19" s="14">
        <v>-0.10145376153304778</v>
      </c>
      <c r="I19" s="14">
        <v>0.21742361901603938</v>
      </c>
    </row>
    <row r="20" spans="1:9">
      <c r="A20" s="14" t="s">
        <v>26</v>
      </c>
      <c r="B20" s="14">
        <v>-0.84893665011887431</v>
      </c>
      <c r="C20" s="14">
        <v>0.67250328195226028</v>
      </c>
      <c r="D20" s="14">
        <v>-1.2623531704625031</v>
      </c>
      <c r="E20" s="14">
        <v>0.21431836770325444</v>
      </c>
      <c r="F20" s="14">
        <v>-2.209202932218632</v>
      </c>
      <c r="G20" s="14">
        <v>0.51132963198088344</v>
      </c>
      <c r="H20" s="14">
        <v>-2.209202932218632</v>
      </c>
      <c r="I20" s="14">
        <v>0.51132963198088344</v>
      </c>
    </row>
    <row r="21" spans="1:9">
      <c r="A21" s="14" t="s">
        <v>27</v>
      </c>
      <c r="B21" s="14">
        <v>-0.89802604075636361</v>
      </c>
      <c r="C21" s="14">
        <v>0.54449966438472874</v>
      </c>
      <c r="D21" s="14">
        <v>-1.6492683090468219</v>
      </c>
      <c r="E21" s="14">
        <v>0.10712579982774341</v>
      </c>
      <c r="F21" s="14">
        <v>-1.9993805678704173</v>
      </c>
      <c r="G21" s="14">
        <v>0.20332848635769007</v>
      </c>
      <c r="H21" s="14">
        <v>-1.9993805678704173</v>
      </c>
      <c r="I21" s="14">
        <v>0.20332848635769007</v>
      </c>
    </row>
    <row r="22" spans="1:9">
      <c r="A22" s="14" t="s">
        <v>28</v>
      </c>
      <c r="B22" s="14">
        <v>0.90832651842284862</v>
      </c>
      <c r="C22" s="14">
        <v>0.3976485109255401</v>
      </c>
      <c r="D22" s="14">
        <v>2.2842447374156851</v>
      </c>
      <c r="E22" s="14">
        <v>2.788240354739166E-2</v>
      </c>
      <c r="F22" s="14">
        <v>0.10400648600762052</v>
      </c>
      <c r="G22" s="14">
        <v>1.7126465508380768</v>
      </c>
      <c r="H22" s="14">
        <v>0.10400648600762052</v>
      </c>
      <c r="I22" s="14">
        <v>1.7126465508380768</v>
      </c>
    </row>
    <row r="23" spans="1:9">
      <c r="A23" s="14" t="s">
        <v>29</v>
      </c>
      <c r="B23" s="14">
        <v>5.2691141193966395E-2</v>
      </c>
      <c r="C23" s="14">
        <v>0.25176510225956933</v>
      </c>
      <c r="D23" s="14">
        <v>0.209286913559775</v>
      </c>
      <c r="E23" s="14">
        <v>0.83531365342480501</v>
      </c>
      <c r="F23" s="14">
        <v>-0.45655184512859076</v>
      </c>
      <c r="G23" s="14">
        <v>0.5619341275165235</v>
      </c>
      <c r="H23" s="14">
        <v>-0.45655184512859076</v>
      </c>
      <c r="I23" s="14">
        <v>0.5619341275165235</v>
      </c>
    </row>
    <row r="24" spans="1:9">
      <c r="A24" s="14" t="s">
        <v>30</v>
      </c>
      <c r="B24" s="14">
        <v>2.275526615787427</v>
      </c>
      <c r="C24" s="14">
        <v>0.88882122239410699</v>
      </c>
      <c r="D24" s="14">
        <v>2.5601623346235192</v>
      </c>
      <c r="E24" s="14">
        <v>1.4449820179938528E-2</v>
      </c>
      <c r="F24" s="14">
        <v>0.47771599971489342</v>
      </c>
      <c r="G24" s="14">
        <v>4.073337231859961</v>
      </c>
      <c r="H24" s="14">
        <v>0.47771599971489342</v>
      </c>
      <c r="I24" s="14">
        <v>4.073337231859961</v>
      </c>
    </row>
    <row r="25" spans="1:9" ht="15" thickBot="1">
      <c r="A25" s="15" t="s">
        <v>31</v>
      </c>
      <c r="B25" s="15">
        <v>-2.7762362474920633E-2</v>
      </c>
      <c r="C25" s="15">
        <v>0.90544747008092308</v>
      </c>
      <c r="D25" s="15">
        <v>-3.0661483291172499E-2</v>
      </c>
      <c r="E25" s="15">
        <v>0.9756958856728879</v>
      </c>
      <c r="F25" s="15">
        <v>-1.8592027387778591</v>
      </c>
      <c r="G25" s="15">
        <v>1.803678013828018</v>
      </c>
      <c r="H25" s="15">
        <v>-1.8592027387778591</v>
      </c>
      <c r="I25" s="15">
        <v>1.803678013828018</v>
      </c>
    </row>
    <row r="29" spans="1:9">
      <c r="A29" t="s">
        <v>32</v>
      </c>
    </row>
    <row r="30" spans="1:9" ht="15" thickBot="1"/>
    <row r="31" spans="1:9">
      <c r="A31" s="16" t="s">
        <v>33</v>
      </c>
      <c r="B31" s="16" t="s">
        <v>112</v>
      </c>
      <c r="C31" s="16" t="s">
        <v>35</v>
      </c>
    </row>
    <row r="32" spans="1:9">
      <c r="A32" s="14">
        <v>1</v>
      </c>
      <c r="B32" s="14">
        <v>38.107593870839878</v>
      </c>
      <c r="C32" s="14">
        <v>-16.107593870839878</v>
      </c>
    </row>
    <row r="33" spans="1:3">
      <c r="A33" s="14">
        <v>2</v>
      </c>
      <c r="B33" s="14">
        <v>15.138849884884095</v>
      </c>
      <c r="C33" s="14">
        <v>-7.1388498848840953</v>
      </c>
    </row>
    <row r="34" spans="1:3">
      <c r="A34" s="14">
        <v>3</v>
      </c>
      <c r="B34" s="14">
        <v>12.298692097889145</v>
      </c>
      <c r="C34" s="14">
        <v>-3.2986920978891447</v>
      </c>
    </row>
    <row r="35" spans="1:3">
      <c r="A35" s="14">
        <v>4</v>
      </c>
      <c r="B35" s="14">
        <v>-14.714946608054843</v>
      </c>
      <c r="C35" s="14">
        <v>-3.2850533919451568</v>
      </c>
    </row>
    <row r="36" spans="1:3">
      <c r="A36" s="14">
        <v>5</v>
      </c>
      <c r="B36" s="14">
        <v>34.584321431364671</v>
      </c>
      <c r="C36" s="14">
        <v>0.41567856863532882</v>
      </c>
    </row>
    <row r="37" spans="1:3">
      <c r="A37" s="14">
        <v>6</v>
      </c>
      <c r="B37" s="14">
        <v>-3.666547604813216</v>
      </c>
      <c r="C37" s="14">
        <v>-6.333452395186784</v>
      </c>
    </row>
    <row r="38" spans="1:3">
      <c r="A38" s="14">
        <v>7</v>
      </c>
      <c r="B38" s="14">
        <v>-5.0398092404880233</v>
      </c>
      <c r="C38" s="14">
        <v>3.0398092404880233</v>
      </c>
    </row>
    <row r="39" spans="1:3">
      <c r="A39" s="14">
        <v>8</v>
      </c>
      <c r="B39" s="14">
        <v>-5.2324063444775906</v>
      </c>
      <c r="C39" s="14">
        <v>-5.7675936555224094</v>
      </c>
    </row>
    <row r="40" spans="1:3">
      <c r="A40" s="14">
        <v>9</v>
      </c>
      <c r="B40" s="14">
        <v>2.0946418488301362</v>
      </c>
      <c r="C40" s="14">
        <v>2.9053581511698638</v>
      </c>
    </row>
    <row r="41" spans="1:3">
      <c r="A41" s="14">
        <v>10</v>
      </c>
      <c r="B41" s="14">
        <v>-5.2500854548584064</v>
      </c>
      <c r="C41" s="14">
        <v>1.2500854548584064</v>
      </c>
    </row>
    <row r="42" spans="1:3">
      <c r="A42" s="14">
        <v>11</v>
      </c>
      <c r="B42" s="14">
        <v>-10.582516491645455</v>
      </c>
      <c r="C42" s="14">
        <v>-7.417483508354545</v>
      </c>
    </row>
    <row r="43" spans="1:3">
      <c r="A43" s="14">
        <v>12</v>
      </c>
      <c r="B43" s="14">
        <v>32.727156163246207</v>
      </c>
      <c r="C43" s="14">
        <v>-13.727156163246207</v>
      </c>
    </row>
    <row r="44" spans="1:3">
      <c r="A44" s="14">
        <v>13</v>
      </c>
      <c r="B44" s="14">
        <v>-9.0893155603422429</v>
      </c>
      <c r="C44" s="14">
        <v>-10.910684439657757</v>
      </c>
    </row>
    <row r="45" spans="1:3">
      <c r="A45" s="14">
        <v>14</v>
      </c>
      <c r="B45" s="14">
        <v>3.108481065246437</v>
      </c>
      <c r="C45" s="14">
        <v>14.891518934753563</v>
      </c>
    </row>
    <row r="46" spans="1:3">
      <c r="A46" s="14">
        <v>15</v>
      </c>
      <c r="B46" s="14">
        <v>-6.2422782312579539</v>
      </c>
      <c r="C46" s="14">
        <v>-11.757721768742046</v>
      </c>
    </row>
    <row r="47" spans="1:3">
      <c r="A47" s="14">
        <v>16</v>
      </c>
      <c r="B47" s="14">
        <v>9.1630414686965338</v>
      </c>
      <c r="C47" s="14">
        <v>26.836958531303466</v>
      </c>
    </row>
    <row r="48" spans="1:3">
      <c r="A48" s="14">
        <v>17</v>
      </c>
      <c r="B48" s="14">
        <v>-12.221068442908562</v>
      </c>
      <c r="C48" s="14">
        <v>1.2210684429085621</v>
      </c>
    </row>
    <row r="49" spans="1:3">
      <c r="A49" s="14">
        <v>18</v>
      </c>
      <c r="B49" s="14">
        <v>-4.7390793829589315</v>
      </c>
      <c r="C49" s="14">
        <v>-2.2609206170410685</v>
      </c>
    </row>
    <row r="50" spans="1:3">
      <c r="A50" s="14">
        <v>19</v>
      </c>
      <c r="B50" s="14">
        <v>5.7440178554065398</v>
      </c>
      <c r="C50" s="14">
        <v>-8.7440178554065398</v>
      </c>
    </row>
    <row r="51" spans="1:3">
      <c r="A51" s="14">
        <v>20</v>
      </c>
      <c r="B51" s="14">
        <v>7.3350196736658546</v>
      </c>
      <c r="C51" s="14">
        <v>19.664980326334145</v>
      </c>
    </row>
    <row r="52" spans="1:3">
      <c r="A52" s="14">
        <v>21</v>
      </c>
      <c r="B52" s="14">
        <v>10.084819492646048</v>
      </c>
      <c r="C52" s="14">
        <v>-5.0848194926460479</v>
      </c>
    </row>
    <row r="53" spans="1:3">
      <c r="A53" s="14">
        <v>22</v>
      </c>
      <c r="B53" s="14">
        <v>-6.7763632849882933</v>
      </c>
      <c r="C53" s="14">
        <v>-2.2236367150117067</v>
      </c>
    </row>
    <row r="54" spans="1:3">
      <c r="A54" s="14">
        <v>23</v>
      </c>
      <c r="B54" s="14">
        <v>13.939807663274721</v>
      </c>
      <c r="C54" s="14">
        <v>4.0601923367252795</v>
      </c>
    </row>
    <row r="55" spans="1:3">
      <c r="A55" s="14">
        <v>24</v>
      </c>
      <c r="B55" s="14">
        <v>-5.4503502092730871</v>
      </c>
      <c r="C55" s="14">
        <v>3.4503502092730871</v>
      </c>
    </row>
    <row r="56" spans="1:3">
      <c r="A56" s="14">
        <v>25</v>
      </c>
      <c r="B56" s="14">
        <v>-0.87478175335674258</v>
      </c>
      <c r="C56" s="14">
        <v>-9.1252182466432572</v>
      </c>
    </row>
    <row r="57" spans="1:3">
      <c r="A57" s="14">
        <v>26</v>
      </c>
      <c r="B57" s="14">
        <v>-9.7777942327818099</v>
      </c>
      <c r="C57" s="14">
        <v>0.77779423278180992</v>
      </c>
    </row>
    <row r="58" spans="1:3">
      <c r="A58" s="14">
        <v>27</v>
      </c>
      <c r="B58" s="14">
        <v>-7.8421561014449424</v>
      </c>
      <c r="C58" s="14">
        <v>-7.1578438985550576</v>
      </c>
    </row>
    <row r="59" spans="1:3">
      <c r="A59" s="14">
        <v>28</v>
      </c>
      <c r="B59" s="14">
        <v>-4.4678052861601287</v>
      </c>
      <c r="C59" s="14">
        <v>14.467805286160129</v>
      </c>
    </row>
    <row r="60" spans="1:3">
      <c r="A60" s="14">
        <v>29</v>
      </c>
      <c r="B60" s="14">
        <v>18.045332577107885</v>
      </c>
      <c r="C60" s="14">
        <v>10.954667422892115</v>
      </c>
    </row>
    <row r="61" spans="1:3">
      <c r="A61" s="14">
        <v>30</v>
      </c>
      <c r="B61" s="14">
        <v>-5.2669236459156075</v>
      </c>
      <c r="C61" s="14">
        <v>-2.7330763540843925</v>
      </c>
    </row>
    <row r="62" spans="1:3">
      <c r="A62" s="14">
        <v>31</v>
      </c>
      <c r="B62" s="14">
        <v>33.48323437283149</v>
      </c>
      <c r="C62" s="14">
        <v>-2.4832343728314896</v>
      </c>
    </row>
    <row r="63" spans="1:3">
      <c r="A63" s="14">
        <v>32</v>
      </c>
      <c r="B63" s="14">
        <v>33.48323437283149</v>
      </c>
      <c r="C63" s="14">
        <v>-1.4832343728314896</v>
      </c>
    </row>
    <row r="64" spans="1:3">
      <c r="A64" s="14">
        <v>33</v>
      </c>
      <c r="B64" s="14">
        <v>21.11074477602369</v>
      </c>
      <c r="C64" s="14">
        <v>-11.11074477602369</v>
      </c>
    </row>
    <row r="65" spans="1:3">
      <c r="A65" s="14">
        <v>34</v>
      </c>
      <c r="B65" s="14">
        <v>21.11074477602369</v>
      </c>
      <c r="C65" s="14">
        <v>-11.11074477602369</v>
      </c>
    </row>
    <row r="66" spans="1:3">
      <c r="A66" s="14">
        <v>35</v>
      </c>
      <c r="B66" s="14">
        <v>-11.565737693579086</v>
      </c>
      <c r="C66" s="14">
        <v>4.5657376935790861</v>
      </c>
    </row>
    <row r="67" spans="1:3">
      <c r="A67" s="14">
        <v>36</v>
      </c>
      <c r="B67" s="14">
        <v>-11.565737693579086</v>
      </c>
      <c r="C67" s="14">
        <v>4.5657376935790861</v>
      </c>
    </row>
    <row r="68" spans="1:3">
      <c r="A68" s="14">
        <v>37</v>
      </c>
      <c r="B68" s="14">
        <v>5.5601621073509726</v>
      </c>
      <c r="C68" s="14">
        <v>12.439837892649027</v>
      </c>
    </row>
    <row r="69" spans="1:3">
      <c r="A69" s="14">
        <v>38</v>
      </c>
      <c r="B69" s="14">
        <v>5.5601621073509726</v>
      </c>
      <c r="C69" s="14">
        <v>12.439837892649027</v>
      </c>
    </row>
    <row r="70" spans="1:3">
      <c r="A70" s="14">
        <v>39</v>
      </c>
      <c r="B70" s="14">
        <v>-15.507094398538673</v>
      </c>
      <c r="C70" s="14">
        <v>6.5070943985386727</v>
      </c>
    </row>
    <row r="71" spans="1:3">
      <c r="A71" s="14">
        <v>40</v>
      </c>
      <c r="B71" s="14">
        <v>-15.507094398538673</v>
      </c>
      <c r="C71" s="14">
        <v>6.5070943985386727</v>
      </c>
    </row>
    <row r="72" spans="1:3">
      <c r="A72" s="14">
        <v>41</v>
      </c>
      <c r="B72" s="14">
        <v>-20.114188560118848</v>
      </c>
      <c r="C72" s="14">
        <v>-9.8858114398811523</v>
      </c>
    </row>
    <row r="73" spans="1:3">
      <c r="A73" s="14">
        <v>42</v>
      </c>
      <c r="B73" s="14">
        <v>-20.114188560118848</v>
      </c>
      <c r="C73" s="14">
        <v>-9.8858114398811523</v>
      </c>
    </row>
    <row r="74" spans="1:3">
      <c r="A74" s="14">
        <v>43</v>
      </c>
      <c r="B74" s="14">
        <v>37.764249902864748</v>
      </c>
      <c r="C74" s="14">
        <v>9.2357500971352522</v>
      </c>
    </row>
    <row r="75" spans="1:3">
      <c r="A75" s="14">
        <v>44</v>
      </c>
      <c r="B75" s="14">
        <v>37.764249902864748</v>
      </c>
      <c r="C75" s="14">
        <v>10.235750097135252</v>
      </c>
    </row>
    <row r="76" spans="1:3">
      <c r="A76" s="14">
        <v>45</v>
      </c>
      <c r="B76" s="14">
        <v>-23.062628777069985</v>
      </c>
      <c r="C76" s="14">
        <v>7.0626287770699854</v>
      </c>
    </row>
    <row r="77" spans="1:3">
      <c r="A77" s="14">
        <v>46</v>
      </c>
      <c r="B77" s="14">
        <v>-23.062628777069985</v>
      </c>
      <c r="C77" s="14">
        <v>7.0626287770699854</v>
      </c>
    </row>
    <row r="78" spans="1:3">
      <c r="A78" s="14">
        <v>47</v>
      </c>
      <c r="B78" s="14">
        <v>-15.237515338447626</v>
      </c>
      <c r="C78" s="14">
        <v>-7.7624846615523744</v>
      </c>
    </row>
    <row r="79" spans="1:3" ht="15" thickBot="1">
      <c r="A79" s="15">
        <v>48</v>
      </c>
      <c r="B79" s="15">
        <v>-15.237515338447626</v>
      </c>
      <c r="C79" s="15">
        <v>-7.7624846615523744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0E78-1F72-4908-82DC-292261AAE2D4}">
  <dimension ref="A1:AA77"/>
  <sheetViews>
    <sheetView tabSelected="1" topLeftCell="A9" workbookViewId="0">
      <selection activeCell="E27" sqref="E27"/>
    </sheetView>
  </sheetViews>
  <sheetFormatPr defaultRowHeight="14.45"/>
  <cols>
    <col min="1" max="1" width="39.140625" bestFit="1" customWidth="1"/>
    <col min="2" max="2" width="12.7109375" bestFit="1" customWidth="1"/>
    <col min="3" max="3" width="15.85546875" bestFit="1" customWidth="1"/>
    <col min="4" max="4" width="14.28515625" style="4" bestFit="1" customWidth="1"/>
    <col min="5" max="5" width="22.5703125" style="2" bestFit="1" customWidth="1"/>
    <col min="6" max="6" width="15" bestFit="1" customWidth="1"/>
    <col min="7" max="8" width="14.42578125" bestFit="1" customWidth="1"/>
    <col min="9" max="9" width="13.85546875" style="3" bestFit="1" customWidth="1"/>
    <col min="10" max="10" width="22.85546875" bestFit="1" customWidth="1"/>
    <col min="11" max="11" width="22.140625" style="3" bestFit="1" customWidth="1"/>
    <col min="12" max="12" width="10.85546875" style="3" bestFit="1" customWidth="1"/>
    <col min="13" max="13" width="11.42578125" bestFit="1" customWidth="1"/>
    <col min="15" max="15" width="22.140625" bestFit="1" customWidth="1"/>
    <col min="16" max="16" width="15.5703125" style="3" bestFit="1" customWidth="1"/>
    <col min="17" max="17" width="22.140625" bestFit="1" customWidth="1"/>
    <col min="18" max="18" width="14.5703125" bestFit="1" customWidth="1"/>
  </cols>
  <sheetData>
    <row r="1" spans="1:27">
      <c r="A1" t="s">
        <v>36</v>
      </c>
      <c r="B1" t="s">
        <v>37</v>
      </c>
      <c r="C1" t="s">
        <v>38</v>
      </c>
      <c r="D1" s="4" t="s">
        <v>113</v>
      </c>
      <c r="E1" s="2" t="s">
        <v>112</v>
      </c>
      <c r="F1" t="s">
        <v>24</v>
      </c>
      <c r="G1" t="s">
        <v>25</v>
      </c>
      <c r="H1" t="s">
        <v>26</v>
      </c>
      <c r="I1" s="3" t="s">
        <v>27</v>
      </c>
      <c r="J1" t="s">
        <v>28</v>
      </c>
      <c r="K1" s="3" t="s">
        <v>29</v>
      </c>
      <c r="L1" s="3" t="s">
        <v>30</v>
      </c>
      <c r="M1" t="s">
        <v>31</v>
      </c>
      <c r="Z1" t="s">
        <v>41</v>
      </c>
      <c r="AA1" t="s">
        <v>42</v>
      </c>
    </row>
    <row r="2" spans="1:27">
      <c r="A2" t="s">
        <v>43</v>
      </c>
      <c r="B2" t="s">
        <v>44</v>
      </c>
      <c r="C2" t="s">
        <v>45</v>
      </c>
      <c r="D2" s="4">
        <v>22</v>
      </c>
      <c r="E2" s="8">
        <f t="shared" ref="E2:E51" si="0">$P$10+(F2*$P$11)+($P$12*G2)+($P$13*H2)+($P$14*I2)+($P$15*J2)+($P$16*K2)+($P$17*L2)+($P$18*M2)</f>
        <v>38.107593870839878</v>
      </c>
      <c r="F2">
        <v>15</v>
      </c>
      <c r="G2">
        <v>193</v>
      </c>
      <c r="H2">
        <v>25.36</v>
      </c>
      <c r="I2" s="3">
        <v>-2.85</v>
      </c>
      <c r="J2">
        <v>16.760000000000002</v>
      </c>
      <c r="K2" s="3">
        <v>-2.38</v>
      </c>
      <c r="L2" s="3">
        <v>69.3</v>
      </c>
      <c r="M2">
        <v>65.099999999999994</v>
      </c>
      <c r="Z2">
        <v>-40</v>
      </c>
      <c r="AA2">
        <v>-40</v>
      </c>
    </row>
    <row r="3" spans="1:27">
      <c r="A3" t="s">
        <v>43</v>
      </c>
      <c r="B3" t="s">
        <v>44</v>
      </c>
      <c r="C3" t="s">
        <v>46</v>
      </c>
      <c r="D3" s="4">
        <v>8</v>
      </c>
      <c r="E3" s="8">
        <f t="shared" si="0"/>
        <v>15.138849884884095</v>
      </c>
      <c r="F3">
        <v>15</v>
      </c>
      <c r="G3">
        <v>74</v>
      </c>
      <c r="H3">
        <v>25.36</v>
      </c>
      <c r="I3" s="3">
        <v>11.02</v>
      </c>
      <c r="J3">
        <v>16.760000000000002</v>
      </c>
      <c r="K3" s="3">
        <v>-1.85</v>
      </c>
      <c r="L3" s="3">
        <v>67.7</v>
      </c>
      <c r="M3">
        <v>65.099999999999994</v>
      </c>
      <c r="Z3">
        <v>0</v>
      </c>
      <c r="AA3">
        <v>0</v>
      </c>
    </row>
    <row r="4" spans="1:27">
      <c r="A4" t="s">
        <v>43</v>
      </c>
      <c r="B4" t="s">
        <v>44</v>
      </c>
      <c r="C4" t="s">
        <v>47</v>
      </c>
      <c r="D4" s="4">
        <v>9</v>
      </c>
      <c r="E4" s="8">
        <f t="shared" si="0"/>
        <v>12.298692097889145</v>
      </c>
      <c r="F4">
        <v>15</v>
      </c>
      <c r="G4">
        <v>6</v>
      </c>
      <c r="H4">
        <v>25.36</v>
      </c>
      <c r="I4" s="3">
        <v>30.34</v>
      </c>
      <c r="J4">
        <v>16.760000000000002</v>
      </c>
      <c r="K4" s="3">
        <v>20.14</v>
      </c>
      <c r="L4" s="3">
        <v>75.3</v>
      </c>
      <c r="M4">
        <v>65.099999999999994</v>
      </c>
      <c r="Z4">
        <v>40</v>
      </c>
      <c r="AA4">
        <v>40</v>
      </c>
    </row>
    <row r="5" spans="1:27">
      <c r="A5" t="s">
        <v>48</v>
      </c>
      <c r="B5" t="s">
        <v>49</v>
      </c>
      <c r="C5" t="s">
        <v>44</v>
      </c>
      <c r="D5" s="4">
        <v>-18</v>
      </c>
      <c r="E5" s="8">
        <f t="shared" si="0"/>
        <v>-14.714946608054843</v>
      </c>
      <c r="F5">
        <v>29</v>
      </c>
      <c r="G5">
        <v>15</v>
      </c>
      <c r="H5">
        <v>24.66</v>
      </c>
      <c r="I5" s="3">
        <v>25.36</v>
      </c>
      <c r="J5">
        <v>8.48</v>
      </c>
      <c r="K5" s="3">
        <v>16.760000000000002</v>
      </c>
      <c r="L5" s="3">
        <v>65.099999999999994</v>
      </c>
      <c r="M5">
        <v>70.2</v>
      </c>
    </row>
    <row r="6" spans="1:27">
      <c r="A6" t="s">
        <v>43</v>
      </c>
      <c r="B6" t="s">
        <v>44</v>
      </c>
      <c r="C6" t="s">
        <v>50</v>
      </c>
      <c r="D6" s="4">
        <v>35</v>
      </c>
      <c r="E6" s="8">
        <f t="shared" si="0"/>
        <v>34.584321431364671</v>
      </c>
      <c r="F6">
        <v>15</v>
      </c>
      <c r="G6">
        <v>189</v>
      </c>
      <c r="H6">
        <v>25.36</v>
      </c>
      <c r="I6" s="3">
        <v>-0.3</v>
      </c>
      <c r="J6">
        <v>16.760000000000002</v>
      </c>
      <c r="K6" s="3">
        <v>-4.1100000000000003</v>
      </c>
      <c r="L6" s="3">
        <v>68.900000000000006</v>
      </c>
      <c r="M6">
        <v>65.099999999999994</v>
      </c>
    </row>
    <row r="7" spans="1:27">
      <c r="A7" t="s">
        <v>51</v>
      </c>
      <c r="B7" t="s">
        <v>52</v>
      </c>
      <c r="C7" t="s">
        <v>44</v>
      </c>
      <c r="D7" s="4">
        <v>-10</v>
      </c>
      <c r="E7" s="8">
        <f t="shared" si="0"/>
        <v>-3.666547604813216</v>
      </c>
      <c r="F7">
        <v>38</v>
      </c>
      <c r="G7">
        <v>15</v>
      </c>
      <c r="H7">
        <v>15.53</v>
      </c>
      <c r="I7" s="3">
        <v>25.36</v>
      </c>
      <c r="J7">
        <v>13.15</v>
      </c>
      <c r="K7" s="3">
        <v>16.760000000000002</v>
      </c>
      <c r="L7" s="3">
        <v>65.099999999999994</v>
      </c>
      <c r="M7">
        <v>68.3</v>
      </c>
    </row>
    <row r="8" spans="1:27">
      <c r="A8" t="s">
        <v>51</v>
      </c>
      <c r="B8" t="s">
        <v>53</v>
      </c>
      <c r="C8" t="s">
        <v>44</v>
      </c>
      <c r="D8" s="4">
        <v>-2</v>
      </c>
      <c r="E8" s="8">
        <f t="shared" si="0"/>
        <v>-5.0398092404880233</v>
      </c>
      <c r="F8">
        <v>22</v>
      </c>
      <c r="G8">
        <v>15</v>
      </c>
      <c r="H8">
        <v>23.34</v>
      </c>
      <c r="I8" s="3">
        <v>25.36</v>
      </c>
      <c r="J8">
        <v>16.98</v>
      </c>
      <c r="K8" s="3">
        <v>16.760000000000002</v>
      </c>
      <c r="L8" s="3">
        <v>65.099999999999994</v>
      </c>
      <c r="M8">
        <v>68.099999999999994</v>
      </c>
    </row>
    <row r="9" spans="1:27">
      <c r="A9" t="s">
        <v>54</v>
      </c>
      <c r="B9" t="s">
        <v>55</v>
      </c>
      <c r="C9" t="s">
        <v>44</v>
      </c>
      <c r="D9" s="4">
        <v>-11</v>
      </c>
      <c r="E9" s="8">
        <f t="shared" si="0"/>
        <v>-5.2324063444775906</v>
      </c>
      <c r="F9">
        <v>58</v>
      </c>
      <c r="G9">
        <v>15</v>
      </c>
      <c r="H9">
        <v>15.42</v>
      </c>
      <c r="I9" s="3">
        <v>25.36</v>
      </c>
      <c r="J9">
        <v>13.68</v>
      </c>
      <c r="K9" s="3">
        <v>16.760000000000002</v>
      </c>
      <c r="L9" s="3">
        <v>65.099999999999994</v>
      </c>
      <c r="M9">
        <v>65.599999999999994</v>
      </c>
      <c r="P9" s="3" t="s">
        <v>16</v>
      </c>
    </row>
    <row r="10" spans="1:27">
      <c r="A10" t="s">
        <v>43</v>
      </c>
      <c r="B10" t="s">
        <v>44</v>
      </c>
      <c r="C10" t="s">
        <v>56</v>
      </c>
      <c r="D10" s="4">
        <v>5</v>
      </c>
      <c r="E10" s="8">
        <f t="shared" si="0"/>
        <v>2.0946418488301362</v>
      </c>
      <c r="F10">
        <v>15</v>
      </c>
      <c r="G10">
        <v>10</v>
      </c>
      <c r="H10">
        <v>25.36</v>
      </c>
      <c r="I10" s="3">
        <v>27.07</v>
      </c>
      <c r="J10">
        <v>16.760000000000002</v>
      </c>
      <c r="K10" s="3">
        <v>12.51</v>
      </c>
      <c r="L10" s="3">
        <v>69.599999999999994</v>
      </c>
      <c r="M10">
        <v>65.099999999999994</v>
      </c>
      <c r="O10" t="s">
        <v>23</v>
      </c>
      <c r="P10">
        <v>-123.43694045161854</v>
      </c>
    </row>
    <row r="11" spans="1:27">
      <c r="A11" t="s">
        <v>57</v>
      </c>
      <c r="B11" t="s">
        <v>58</v>
      </c>
      <c r="C11" t="s">
        <v>44</v>
      </c>
      <c r="D11" s="4">
        <v>-4</v>
      </c>
      <c r="E11" s="8">
        <f t="shared" si="0"/>
        <v>-5.2500854548584064</v>
      </c>
      <c r="F11">
        <v>18</v>
      </c>
      <c r="G11">
        <v>15</v>
      </c>
      <c r="H11">
        <v>23.66</v>
      </c>
      <c r="I11" s="3">
        <v>25.36</v>
      </c>
      <c r="J11">
        <v>16.52</v>
      </c>
      <c r="K11" s="3">
        <v>16.760000000000002</v>
      </c>
      <c r="L11" s="3">
        <v>65.099999999999994</v>
      </c>
      <c r="M11">
        <v>66.8</v>
      </c>
      <c r="O11" t="s">
        <v>24</v>
      </c>
      <c r="P11">
        <v>-0.11078066023119391</v>
      </c>
    </row>
    <row r="12" spans="1:27">
      <c r="A12" t="s">
        <v>59</v>
      </c>
      <c r="B12" t="s">
        <v>60</v>
      </c>
      <c r="C12" t="s">
        <v>61</v>
      </c>
      <c r="D12" s="4">
        <v>-18</v>
      </c>
      <c r="E12" s="8">
        <f t="shared" si="0"/>
        <v>-10.582516491645455</v>
      </c>
      <c r="F12">
        <v>4</v>
      </c>
      <c r="G12">
        <v>15</v>
      </c>
      <c r="H12">
        <v>35.049999999999997</v>
      </c>
      <c r="I12" s="3">
        <v>25.36</v>
      </c>
      <c r="J12">
        <v>19.63</v>
      </c>
      <c r="K12" s="3">
        <v>16.760000000000002</v>
      </c>
      <c r="L12" s="3">
        <v>65.099999999999994</v>
      </c>
      <c r="M12">
        <v>68.2</v>
      </c>
      <c r="O12" t="s">
        <v>25</v>
      </c>
      <c r="P12">
        <v>5.79849287414958E-2</v>
      </c>
    </row>
    <row r="13" spans="1:27">
      <c r="A13" t="s">
        <v>43</v>
      </c>
      <c r="B13" t="s">
        <v>44</v>
      </c>
      <c r="C13" t="s">
        <v>62</v>
      </c>
      <c r="D13" s="4">
        <v>19</v>
      </c>
      <c r="E13" s="8">
        <f t="shared" si="0"/>
        <v>32.727156163246207</v>
      </c>
      <c r="F13">
        <v>15</v>
      </c>
      <c r="G13">
        <v>157</v>
      </c>
      <c r="H13">
        <v>25.36</v>
      </c>
      <c r="I13" s="3">
        <v>-0.47</v>
      </c>
      <c r="J13">
        <v>16.760000000000002</v>
      </c>
      <c r="K13" s="3">
        <v>-2.72</v>
      </c>
      <c r="L13" s="3">
        <v>68.8</v>
      </c>
      <c r="M13">
        <v>65.099999999999994</v>
      </c>
      <c r="O13" t="s">
        <v>26</v>
      </c>
      <c r="P13">
        <v>-0.84893665011887431</v>
      </c>
    </row>
    <row r="14" spans="1:27">
      <c r="A14" t="s">
        <v>63</v>
      </c>
      <c r="B14" t="s">
        <v>64</v>
      </c>
      <c r="C14" t="s">
        <v>44</v>
      </c>
      <c r="D14" s="4">
        <v>-20</v>
      </c>
      <c r="E14" s="8">
        <f t="shared" si="0"/>
        <v>-9.0893155603422429</v>
      </c>
      <c r="F14">
        <v>83</v>
      </c>
      <c r="G14">
        <v>15</v>
      </c>
      <c r="H14">
        <v>15.26</v>
      </c>
      <c r="I14" s="3">
        <v>25.36</v>
      </c>
      <c r="J14">
        <v>12.37</v>
      </c>
      <c r="K14" s="3">
        <v>16.760000000000002</v>
      </c>
      <c r="L14" s="3">
        <v>65.099999999999994</v>
      </c>
      <c r="M14">
        <v>66.8</v>
      </c>
      <c r="O14" t="s">
        <v>27</v>
      </c>
      <c r="P14">
        <v>-0.89802604075636361</v>
      </c>
    </row>
    <row r="15" spans="1:27">
      <c r="A15" t="s">
        <v>43</v>
      </c>
      <c r="B15" t="s">
        <v>44</v>
      </c>
      <c r="C15" t="s">
        <v>65</v>
      </c>
      <c r="D15" s="4">
        <v>18</v>
      </c>
      <c r="E15" s="8">
        <f t="shared" si="0"/>
        <v>3.108481065246437</v>
      </c>
      <c r="F15">
        <v>15</v>
      </c>
      <c r="G15">
        <v>44</v>
      </c>
      <c r="H15">
        <v>25.36</v>
      </c>
      <c r="I15" s="3">
        <v>17.02</v>
      </c>
      <c r="J15">
        <v>16.760000000000002</v>
      </c>
      <c r="K15" s="3">
        <v>13.07</v>
      </c>
      <c r="L15" s="3">
        <v>65.2</v>
      </c>
      <c r="M15">
        <v>65.099999999999994</v>
      </c>
      <c r="O15" t="s">
        <v>28</v>
      </c>
      <c r="P15">
        <v>0.90832651842284862</v>
      </c>
    </row>
    <row r="16" spans="1:27">
      <c r="A16" t="s">
        <v>66</v>
      </c>
      <c r="B16" t="s">
        <v>67</v>
      </c>
      <c r="C16" t="s">
        <v>44</v>
      </c>
      <c r="D16" s="4">
        <v>-18</v>
      </c>
      <c r="E16" s="8">
        <f t="shared" si="0"/>
        <v>-6.2422782312579539</v>
      </c>
      <c r="F16">
        <v>70</v>
      </c>
      <c r="G16">
        <v>15</v>
      </c>
      <c r="H16">
        <v>14.75</v>
      </c>
      <c r="I16" s="3">
        <v>25.36</v>
      </c>
      <c r="J16">
        <v>13.43</v>
      </c>
      <c r="K16" s="3">
        <v>16.760000000000002</v>
      </c>
      <c r="L16" s="3">
        <v>65.099999999999994</v>
      </c>
      <c r="M16">
        <v>66.400000000000006</v>
      </c>
      <c r="O16" t="s">
        <v>29</v>
      </c>
      <c r="P16">
        <v>5.2691141193966395E-2</v>
      </c>
    </row>
    <row r="17" spans="1:16">
      <c r="A17" t="s">
        <v>43</v>
      </c>
      <c r="B17" t="s">
        <v>44</v>
      </c>
      <c r="C17" t="s">
        <v>68</v>
      </c>
      <c r="D17" s="4">
        <v>36</v>
      </c>
      <c r="E17" s="8">
        <f t="shared" si="0"/>
        <v>9.1630414686965338</v>
      </c>
      <c r="F17">
        <v>15</v>
      </c>
      <c r="G17">
        <v>46</v>
      </c>
      <c r="H17">
        <v>25.36</v>
      </c>
      <c r="I17" s="3">
        <v>16.98</v>
      </c>
      <c r="J17">
        <v>16.760000000000002</v>
      </c>
      <c r="K17" s="3">
        <v>12.81</v>
      </c>
      <c r="L17" s="3">
        <v>67.8</v>
      </c>
      <c r="M17">
        <v>65.099999999999994</v>
      </c>
      <c r="O17" t="s">
        <v>30</v>
      </c>
      <c r="P17">
        <v>2.275526615787427</v>
      </c>
    </row>
    <row r="18" spans="1:16" ht="15" thickBot="1">
      <c r="A18" t="s">
        <v>69</v>
      </c>
      <c r="B18" t="s">
        <v>70</v>
      </c>
      <c r="C18" t="s">
        <v>44</v>
      </c>
      <c r="D18" s="4">
        <v>-11</v>
      </c>
      <c r="E18" s="8">
        <f t="shared" si="0"/>
        <v>-12.221068442908562</v>
      </c>
      <c r="F18">
        <v>104</v>
      </c>
      <c r="G18">
        <v>15</v>
      </c>
      <c r="H18">
        <v>13.88</v>
      </c>
      <c r="I18" s="3">
        <v>25.36</v>
      </c>
      <c r="J18">
        <v>10.27</v>
      </c>
      <c r="K18" s="3">
        <v>16.760000000000002</v>
      </c>
      <c r="L18" s="3">
        <v>65.099999999999994</v>
      </c>
      <c r="M18">
        <v>69.3</v>
      </c>
      <c r="O18" s="1" t="s">
        <v>31</v>
      </c>
      <c r="P18" s="1">
        <v>-2.7762362474920633E-2</v>
      </c>
    </row>
    <row r="19" spans="1:16">
      <c r="A19" t="s">
        <v>71</v>
      </c>
      <c r="B19" t="s">
        <v>72</v>
      </c>
      <c r="C19" t="s">
        <v>44</v>
      </c>
      <c r="D19" s="4">
        <v>-7</v>
      </c>
      <c r="E19" s="8">
        <f t="shared" si="0"/>
        <v>-4.7390793829589315</v>
      </c>
      <c r="F19">
        <v>27</v>
      </c>
      <c r="G19">
        <v>15</v>
      </c>
      <c r="H19">
        <v>19.53</v>
      </c>
      <c r="I19" s="3">
        <v>25.36</v>
      </c>
      <c r="J19">
        <v>14.36</v>
      </c>
      <c r="K19" s="3">
        <v>16.760000000000002</v>
      </c>
      <c r="L19" s="3">
        <v>65.099999999999994</v>
      </c>
      <c r="M19">
        <v>68.099999999999994</v>
      </c>
    </row>
    <row r="20" spans="1:16">
      <c r="A20" t="s">
        <v>43</v>
      </c>
      <c r="B20" t="s">
        <v>44</v>
      </c>
      <c r="C20" t="s">
        <v>73</v>
      </c>
      <c r="D20" s="4">
        <v>-3</v>
      </c>
      <c r="E20" s="8">
        <f t="shared" si="0"/>
        <v>5.7440178554065398</v>
      </c>
      <c r="F20">
        <v>15</v>
      </c>
      <c r="G20">
        <v>37</v>
      </c>
      <c r="H20">
        <v>25.36</v>
      </c>
      <c r="I20" s="3">
        <v>19.079999999999998</v>
      </c>
      <c r="J20">
        <v>16.760000000000002</v>
      </c>
      <c r="K20" s="3">
        <v>15.21</v>
      </c>
      <c r="L20" s="3">
        <v>67.3</v>
      </c>
      <c r="M20">
        <v>65.099999999999994</v>
      </c>
    </row>
    <row r="21" spans="1:16">
      <c r="A21" t="s">
        <v>43</v>
      </c>
      <c r="B21" t="s">
        <v>44</v>
      </c>
      <c r="C21" t="s">
        <v>74</v>
      </c>
      <c r="D21" s="4">
        <v>27</v>
      </c>
      <c r="E21" s="8">
        <f t="shared" si="0"/>
        <v>7.3350196736658546</v>
      </c>
      <c r="F21">
        <v>15</v>
      </c>
      <c r="G21">
        <v>21</v>
      </c>
      <c r="H21">
        <v>25.36</v>
      </c>
      <c r="I21" s="3">
        <v>23.45</v>
      </c>
      <c r="J21">
        <v>16.760000000000002</v>
      </c>
      <c r="K21" s="3">
        <v>16.57</v>
      </c>
      <c r="L21" s="3">
        <v>70.099999999999994</v>
      </c>
      <c r="M21">
        <v>65.099999999999994</v>
      </c>
    </row>
    <row r="22" spans="1:16">
      <c r="A22" t="s">
        <v>43</v>
      </c>
      <c r="B22" t="s">
        <v>44</v>
      </c>
      <c r="C22" t="s">
        <v>75</v>
      </c>
      <c r="D22" s="4">
        <v>5</v>
      </c>
      <c r="E22" s="8">
        <f t="shared" si="0"/>
        <v>10.084819492646048</v>
      </c>
      <c r="F22">
        <v>15</v>
      </c>
      <c r="G22">
        <v>45</v>
      </c>
      <c r="H22">
        <v>25.36</v>
      </c>
      <c r="I22" s="3">
        <v>16.98</v>
      </c>
      <c r="J22">
        <v>16.760000000000002</v>
      </c>
      <c r="K22" s="3">
        <v>14.13</v>
      </c>
      <c r="L22" s="3">
        <v>68.2</v>
      </c>
      <c r="M22">
        <v>65.099999999999994</v>
      </c>
    </row>
    <row r="23" spans="1:16">
      <c r="A23" t="s">
        <v>76</v>
      </c>
      <c r="B23" t="s">
        <v>77</v>
      </c>
      <c r="C23" t="s">
        <v>44</v>
      </c>
      <c r="D23" s="4">
        <v>-9</v>
      </c>
      <c r="E23" s="8">
        <f t="shared" si="0"/>
        <v>-6.7763632849882933</v>
      </c>
      <c r="F23">
        <v>62</v>
      </c>
      <c r="G23">
        <v>15</v>
      </c>
      <c r="H23">
        <v>15.65</v>
      </c>
      <c r="I23" s="3">
        <v>25.36</v>
      </c>
      <c r="J23">
        <v>12.79</v>
      </c>
      <c r="K23" s="3">
        <v>16.760000000000002</v>
      </c>
      <c r="L23" s="3">
        <v>65.099999999999994</v>
      </c>
      <c r="M23">
        <v>69.099999999999994</v>
      </c>
    </row>
    <row r="24" spans="1:16">
      <c r="A24" t="s">
        <v>43</v>
      </c>
      <c r="B24" t="s">
        <v>44</v>
      </c>
      <c r="C24" t="s">
        <v>78</v>
      </c>
      <c r="D24" s="4">
        <v>18</v>
      </c>
      <c r="E24" s="8">
        <f t="shared" si="0"/>
        <v>13.939807663274721</v>
      </c>
      <c r="F24">
        <v>15</v>
      </c>
      <c r="G24">
        <v>57</v>
      </c>
      <c r="H24">
        <v>25.36</v>
      </c>
      <c r="I24" s="3">
        <v>14.39</v>
      </c>
      <c r="J24">
        <v>16.760000000000002</v>
      </c>
      <c r="K24" s="3">
        <v>12.67</v>
      </c>
      <c r="L24" s="3">
        <v>68.599999999999994</v>
      </c>
      <c r="M24">
        <v>65.099999999999994</v>
      </c>
    </row>
    <row r="25" spans="1:16">
      <c r="A25" t="s">
        <v>79</v>
      </c>
      <c r="B25" t="s">
        <v>74</v>
      </c>
      <c r="C25" t="s">
        <v>44</v>
      </c>
      <c r="D25" s="4">
        <v>-2</v>
      </c>
      <c r="E25" s="8">
        <f t="shared" si="0"/>
        <v>-5.4503502092730871</v>
      </c>
      <c r="F25">
        <v>21</v>
      </c>
      <c r="G25">
        <v>15</v>
      </c>
      <c r="H25">
        <v>23.45</v>
      </c>
      <c r="I25" s="3">
        <v>25.36</v>
      </c>
      <c r="J25">
        <v>16.57</v>
      </c>
      <c r="K25" s="3">
        <v>16.760000000000002</v>
      </c>
      <c r="L25" s="3">
        <v>65.099999999999994</v>
      </c>
      <c r="M25">
        <v>70.099999999999994</v>
      </c>
    </row>
    <row r="26" spans="1:16">
      <c r="A26" t="s">
        <v>43</v>
      </c>
      <c r="B26" t="s">
        <v>44</v>
      </c>
      <c r="C26" t="s">
        <v>80</v>
      </c>
      <c r="D26" s="4">
        <v>-10</v>
      </c>
      <c r="E26" s="8">
        <f t="shared" si="0"/>
        <v>-0.87478175335674258</v>
      </c>
      <c r="F26">
        <v>15</v>
      </c>
      <c r="G26">
        <v>12</v>
      </c>
      <c r="H26">
        <v>25.36</v>
      </c>
      <c r="I26" s="3">
        <v>26.57</v>
      </c>
      <c r="J26">
        <v>16.760000000000002</v>
      </c>
      <c r="K26" s="3">
        <v>14.53</v>
      </c>
      <c r="L26" s="3">
        <v>68</v>
      </c>
      <c r="M26">
        <v>65.099999999999994</v>
      </c>
    </row>
    <row r="27" spans="1:16">
      <c r="A27" t="s">
        <v>81</v>
      </c>
      <c r="B27" t="s">
        <v>82</v>
      </c>
      <c r="C27" t="s">
        <v>44</v>
      </c>
      <c r="D27" s="4">
        <v>-9</v>
      </c>
      <c r="E27" s="8">
        <f t="shared" si="0"/>
        <v>-9.7777942327818099</v>
      </c>
      <c r="F27">
        <v>7</v>
      </c>
      <c r="G27">
        <v>15</v>
      </c>
      <c r="H27">
        <v>28.48</v>
      </c>
      <c r="I27" s="3">
        <v>25.36</v>
      </c>
      <c r="J27">
        <v>14.72</v>
      </c>
      <c r="K27" s="3">
        <v>16.760000000000002</v>
      </c>
      <c r="L27" s="3">
        <v>65.099999999999994</v>
      </c>
      <c r="M27">
        <v>67.5</v>
      </c>
    </row>
    <row r="28" spans="1:16">
      <c r="A28" t="s">
        <v>83</v>
      </c>
      <c r="B28" t="s">
        <v>75</v>
      </c>
      <c r="C28" t="s">
        <v>44</v>
      </c>
      <c r="D28" s="4">
        <v>-15</v>
      </c>
      <c r="E28" s="8">
        <f t="shared" si="0"/>
        <v>-7.8421561014449424</v>
      </c>
      <c r="F28">
        <v>45</v>
      </c>
      <c r="G28">
        <v>15</v>
      </c>
      <c r="H28">
        <v>19.489999999999998</v>
      </c>
      <c r="I28" s="3">
        <v>25.36</v>
      </c>
      <c r="J28">
        <v>13.12</v>
      </c>
      <c r="K28" s="3">
        <v>16.760000000000002</v>
      </c>
      <c r="L28" s="3">
        <v>65.099999999999994</v>
      </c>
      <c r="M28">
        <v>68.7</v>
      </c>
    </row>
    <row r="29" spans="1:16">
      <c r="A29" t="s">
        <v>43</v>
      </c>
      <c r="B29" t="s">
        <v>44</v>
      </c>
      <c r="C29" t="s">
        <v>84</v>
      </c>
      <c r="D29" s="4">
        <v>10</v>
      </c>
      <c r="E29" s="8">
        <f t="shared" si="0"/>
        <v>-4.4678052861601287</v>
      </c>
      <c r="F29">
        <v>15</v>
      </c>
      <c r="G29">
        <v>20</v>
      </c>
      <c r="H29">
        <v>25.36</v>
      </c>
      <c r="I29" s="3">
        <v>23.46</v>
      </c>
      <c r="J29">
        <v>16.760000000000002</v>
      </c>
      <c r="K29" s="3">
        <v>14.09</v>
      </c>
      <c r="L29" s="3">
        <v>65</v>
      </c>
      <c r="M29">
        <v>65.099999999999994</v>
      </c>
    </row>
    <row r="30" spans="1:16">
      <c r="A30" t="s">
        <v>43</v>
      </c>
      <c r="B30" t="s">
        <v>44</v>
      </c>
      <c r="C30" t="s">
        <v>67</v>
      </c>
      <c r="D30" s="4">
        <v>29</v>
      </c>
      <c r="E30" s="8">
        <f t="shared" si="0"/>
        <v>18.045332577107885</v>
      </c>
      <c r="F30">
        <v>15</v>
      </c>
      <c r="G30">
        <v>70</v>
      </c>
      <c r="H30">
        <v>25.36</v>
      </c>
      <c r="I30" s="3">
        <v>11.5</v>
      </c>
      <c r="J30">
        <v>16.760000000000002</v>
      </c>
      <c r="K30" s="3">
        <v>14.07</v>
      </c>
      <c r="L30" s="3">
        <v>68.900000000000006</v>
      </c>
      <c r="M30">
        <v>65.099999999999994</v>
      </c>
    </row>
    <row r="31" spans="1:16">
      <c r="A31" t="s">
        <v>85</v>
      </c>
      <c r="B31" t="s">
        <v>86</v>
      </c>
      <c r="C31" t="s">
        <v>44</v>
      </c>
      <c r="D31" s="4">
        <v>-8</v>
      </c>
      <c r="E31" s="8">
        <f t="shared" si="0"/>
        <v>-5.2669236459156075</v>
      </c>
      <c r="F31">
        <v>17</v>
      </c>
      <c r="G31">
        <v>15</v>
      </c>
      <c r="H31">
        <v>24.32</v>
      </c>
      <c r="I31" s="3">
        <v>25.36</v>
      </c>
      <c r="J31">
        <v>17.14</v>
      </c>
      <c r="K31" s="3">
        <v>16.760000000000002</v>
      </c>
      <c r="L31" s="3">
        <v>65.099999999999994</v>
      </c>
      <c r="M31">
        <v>71.5</v>
      </c>
    </row>
    <row r="32" spans="1:16">
      <c r="A32" t="s">
        <v>87</v>
      </c>
      <c r="B32" t="s">
        <v>44</v>
      </c>
      <c r="C32" t="s">
        <v>88</v>
      </c>
      <c r="D32" s="4">
        <v>31</v>
      </c>
      <c r="E32" s="8">
        <f t="shared" si="0"/>
        <v>33.48323437283149</v>
      </c>
      <c r="F32">
        <v>2</v>
      </c>
      <c r="G32">
        <v>280</v>
      </c>
      <c r="H32">
        <v>32.71</v>
      </c>
      <c r="I32" s="3">
        <v>-9.4700000000000006</v>
      </c>
      <c r="J32">
        <v>5.9</v>
      </c>
      <c r="K32" s="3">
        <v>1.71</v>
      </c>
      <c r="L32" s="3">
        <v>68.8</v>
      </c>
      <c r="M32">
        <v>66.099999999999994</v>
      </c>
    </row>
    <row r="33" spans="1:16" s="6" customFormat="1" hidden="1">
      <c r="A33" s="6" t="s">
        <v>87</v>
      </c>
      <c r="B33" s="6" t="s">
        <v>44</v>
      </c>
      <c r="C33" s="6" t="s">
        <v>88</v>
      </c>
      <c r="D33" s="5">
        <v>32</v>
      </c>
      <c r="E33" s="8">
        <f t="shared" ref="E33" si="1">$P$10+(F33*$P$11)+($P$12*G33)+($P$13*H33)+($P$14*I33)+($P$15*J33)+($P$16*K33)+($P$17*L33)+($P$18*M33)</f>
        <v>33.48323437283149</v>
      </c>
      <c r="F33" s="6">
        <v>2</v>
      </c>
      <c r="G33" s="6">
        <v>280</v>
      </c>
      <c r="H33" s="6">
        <v>32.71</v>
      </c>
      <c r="I33" s="7">
        <v>-9.4700000000000006</v>
      </c>
      <c r="J33" s="6">
        <v>5.9</v>
      </c>
      <c r="K33" s="7">
        <v>1.71</v>
      </c>
      <c r="L33" s="7">
        <v>68.8</v>
      </c>
      <c r="M33" s="6">
        <v>66.099999999999994</v>
      </c>
      <c r="P33" s="7"/>
    </row>
    <row r="34" spans="1:16">
      <c r="A34" t="s">
        <v>89</v>
      </c>
      <c r="B34" t="s">
        <v>44</v>
      </c>
      <c r="C34" t="s">
        <v>90</v>
      </c>
      <c r="D34" s="4">
        <v>10</v>
      </c>
      <c r="E34" s="8">
        <f t="shared" si="0"/>
        <v>21.11074477602369</v>
      </c>
      <c r="F34">
        <v>2</v>
      </c>
      <c r="G34">
        <v>144</v>
      </c>
      <c r="H34">
        <v>32.71</v>
      </c>
      <c r="I34" s="3">
        <v>1.81</v>
      </c>
      <c r="J34">
        <v>5.9</v>
      </c>
      <c r="K34" s="3">
        <v>13.8</v>
      </c>
      <c r="L34" s="3">
        <v>71</v>
      </c>
      <c r="M34">
        <v>66.099999999999994</v>
      </c>
    </row>
    <row r="35" spans="1:16" hidden="1">
      <c r="A35" s="6" t="s">
        <v>89</v>
      </c>
      <c r="B35" s="6" t="s">
        <v>44</v>
      </c>
      <c r="C35" s="6" t="s">
        <v>90</v>
      </c>
      <c r="D35" s="5">
        <v>10</v>
      </c>
      <c r="E35" s="8">
        <f t="shared" si="0"/>
        <v>21.11074477602369</v>
      </c>
      <c r="F35" s="6">
        <v>2</v>
      </c>
      <c r="G35">
        <v>144</v>
      </c>
      <c r="H35" s="6">
        <v>32.71</v>
      </c>
      <c r="I35" s="7">
        <v>1.81</v>
      </c>
      <c r="J35" s="6">
        <v>5.9</v>
      </c>
      <c r="K35" s="7">
        <v>13.8</v>
      </c>
      <c r="L35" s="7">
        <v>71</v>
      </c>
      <c r="M35" s="6">
        <v>66.099999999999994</v>
      </c>
    </row>
    <row r="36" spans="1:16">
      <c r="A36" t="s">
        <v>91</v>
      </c>
      <c r="B36" t="s">
        <v>47</v>
      </c>
      <c r="C36" t="s">
        <v>44</v>
      </c>
      <c r="D36" s="4">
        <v>-7</v>
      </c>
      <c r="E36" s="8">
        <f t="shared" si="0"/>
        <v>-11.565737693579086</v>
      </c>
      <c r="F36">
        <v>12</v>
      </c>
      <c r="G36">
        <v>2</v>
      </c>
      <c r="H36">
        <v>26.56</v>
      </c>
      <c r="I36" s="3">
        <v>32.71</v>
      </c>
      <c r="J36">
        <v>17.989999999999998</v>
      </c>
      <c r="K36" s="3">
        <v>5.9</v>
      </c>
      <c r="L36" s="3">
        <v>66.099999999999994</v>
      </c>
      <c r="M36">
        <v>74.099999999999994</v>
      </c>
    </row>
    <row r="37" spans="1:16" s="6" customFormat="1" hidden="1">
      <c r="A37" s="6" t="s">
        <v>91</v>
      </c>
      <c r="B37" s="6" t="s">
        <v>47</v>
      </c>
      <c r="C37" s="6" t="s">
        <v>44</v>
      </c>
      <c r="D37" s="5">
        <v>-7</v>
      </c>
      <c r="E37" s="8">
        <f t="shared" si="0"/>
        <v>-11.565737693579086</v>
      </c>
      <c r="F37" s="6">
        <v>12</v>
      </c>
      <c r="G37">
        <v>2</v>
      </c>
      <c r="H37" s="6">
        <v>26.56</v>
      </c>
      <c r="I37" s="7">
        <v>32.71</v>
      </c>
      <c r="J37" s="6">
        <v>17.989999999999998</v>
      </c>
      <c r="K37" s="7">
        <v>5.9</v>
      </c>
      <c r="L37" s="7">
        <v>66.099999999999994</v>
      </c>
      <c r="M37" s="6">
        <v>74.099999999999994</v>
      </c>
      <c r="P37" s="7"/>
    </row>
    <row r="38" spans="1:16">
      <c r="A38" t="s">
        <v>89</v>
      </c>
      <c r="B38" t="s">
        <v>44</v>
      </c>
      <c r="C38" t="s">
        <v>92</v>
      </c>
      <c r="D38" s="4">
        <v>18</v>
      </c>
      <c r="E38" s="8">
        <f t="shared" si="0"/>
        <v>5.5601621073509726</v>
      </c>
      <c r="F38">
        <v>2</v>
      </c>
      <c r="G38">
        <v>57</v>
      </c>
      <c r="H38">
        <v>32.71</v>
      </c>
      <c r="I38" s="3">
        <v>14.23</v>
      </c>
      <c r="J38">
        <v>5.9</v>
      </c>
      <c r="K38" s="3">
        <v>-4.1399999999999997</v>
      </c>
      <c r="L38" s="3">
        <v>71.7</v>
      </c>
      <c r="M38">
        <v>66.099999999999994</v>
      </c>
    </row>
    <row r="39" spans="1:16" s="6" customFormat="1" hidden="1">
      <c r="A39" s="6" t="s">
        <v>89</v>
      </c>
      <c r="B39" s="6" t="s">
        <v>44</v>
      </c>
      <c r="C39" s="6" t="s">
        <v>92</v>
      </c>
      <c r="D39" s="5">
        <v>18</v>
      </c>
      <c r="E39" s="8">
        <f t="shared" si="0"/>
        <v>5.5601621073509726</v>
      </c>
      <c r="F39" s="6">
        <v>2</v>
      </c>
      <c r="G39">
        <v>57</v>
      </c>
      <c r="H39" s="6">
        <v>32.71</v>
      </c>
      <c r="I39" s="7">
        <v>14.23</v>
      </c>
      <c r="J39" s="6">
        <v>5.9</v>
      </c>
      <c r="K39" s="7">
        <v>-4.1399999999999997</v>
      </c>
      <c r="L39" s="7">
        <v>71.7</v>
      </c>
      <c r="M39" s="6">
        <v>66.099999999999994</v>
      </c>
      <c r="P39" s="7"/>
    </row>
    <row r="40" spans="1:16">
      <c r="A40" t="s">
        <v>93</v>
      </c>
      <c r="B40" t="s">
        <v>94</v>
      </c>
      <c r="C40" t="s">
        <v>44</v>
      </c>
      <c r="D40" s="4">
        <v>-9</v>
      </c>
      <c r="E40" s="8">
        <f t="shared" si="0"/>
        <v>-15.507094398538673</v>
      </c>
      <c r="F40">
        <v>73</v>
      </c>
      <c r="G40">
        <v>2</v>
      </c>
      <c r="H40">
        <v>11.91</v>
      </c>
      <c r="I40" s="3">
        <v>32.71</v>
      </c>
      <c r="J40">
        <v>7.27</v>
      </c>
      <c r="K40" s="3">
        <v>5.9</v>
      </c>
      <c r="L40" s="3">
        <v>66.099999999999994</v>
      </c>
      <c r="M40">
        <v>69.900000000000006</v>
      </c>
    </row>
    <row r="41" spans="1:16" s="6" customFormat="1" hidden="1">
      <c r="A41" s="6" t="s">
        <v>93</v>
      </c>
      <c r="B41" s="6" t="s">
        <v>94</v>
      </c>
      <c r="C41" s="6" t="s">
        <v>44</v>
      </c>
      <c r="D41" s="5">
        <v>-9</v>
      </c>
      <c r="E41" s="8">
        <f t="shared" si="0"/>
        <v>-15.507094398538673</v>
      </c>
      <c r="F41" s="6">
        <v>73</v>
      </c>
      <c r="G41">
        <v>2</v>
      </c>
      <c r="H41" s="6">
        <v>11.91</v>
      </c>
      <c r="I41" s="7">
        <v>32.71</v>
      </c>
      <c r="J41" s="6">
        <v>7.27</v>
      </c>
      <c r="K41" s="7">
        <v>5.9</v>
      </c>
      <c r="L41" s="7">
        <v>66.099999999999994</v>
      </c>
      <c r="M41" s="6">
        <v>69.900000000000006</v>
      </c>
      <c r="P41" s="7"/>
    </row>
    <row r="42" spans="1:16">
      <c r="A42" t="s">
        <v>93</v>
      </c>
      <c r="B42" t="s">
        <v>95</v>
      </c>
      <c r="C42" t="s">
        <v>44</v>
      </c>
      <c r="D42" s="4">
        <v>-30</v>
      </c>
      <c r="E42" s="8">
        <f t="shared" si="0"/>
        <v>-20.114188560118848</v>
      </c>
      <c r="F42">
        <v>30</v>
      </c>
      <c r="G42">
        <v>2</v>
      </c>
      <c r="H42">
        <v>19.82</v>
      </c>
      <c r="I42" s="3">
        <v>32.71</v>
      </c>
      <c r="J42">
        <v>4.2699999999999996</v>
      </c>
      <c r="K42" s="3">
        <v>5.9</v>
      </c>
      <c r="L42" s="3">
        <v>66.099999999999994</v>
      </c>
      <c r="M42">
        <v>67.400000000000006</v>
      </c>
    </row>
    <row r="43" spans="1:16" s="6" customFormat="1" hidden="1">
      <c r="A43" s="6" t="s">
        <v>93</v>
      </c>
      <c r="B43" s="6" t="s">
        <v>95</v>
      </c>
      <c r="C43" s="6" t="s">
        <v>44</v>
      </c>
      <c r="D43" s="5">
        <v>-30</v>
      </c>
      <c r="E43" s="8">
        <f t="shared" si="0"/>
        <v>-20.114188560118848</v>
      </c>
      <c r="F43" s="6">
        <v>30</v>
      </c>
      <c r="G43">
        <v>2</v>
      </c>
      <c r="H43" s="6">
        <v>19.82</v>
      </c>
      <c r="I43" s="7">
        <v>32.71</v>
      </c>
      <c r="J43" s="6">
        <v>4.2699999999999996</v>
      </c>
      <c r="K43" s="7">
        <v>5.9</v>
      </c>
      <c r="L43" s="7">
        <v>66.099999999999994</v>
      </c>
      <c r="M43" s="6">
        <v>67.400000000000006</v>
      </c>
      <c r="P43" s="7"/>
    </row>
    <row r="44" spans="1:16" s="11" customFormat="1">
      <c r="A44" s="11" t="s">
        <v>43</v>
      </c>
      <c r="B44" s="11" t="s">
        <v>44</v>
      </c>
      <c r="C44" s="11" t="s">
        <v>96</v>
      </c>
      <c r="D44" s="12">
        <v>47</v>
      </c>
      <c r="E44" s="8">
        <f t="shared" si="0"/>
        <v>37.764249902864748</v>
      </c>
      <c r="F44">
        <v>2</v>
      </c>
      <c r="G44">
        <v>332</v>
      </c>
      <c r="H44">
        <v>32.71</v>
      </c>
      <c r="I44" s="3">
        <v>-15.41</v>
      </c>
      <c r="J44">
        <v>5.9</v>
      </c>
      <c r="K44" s="3">
        <v>6.55</v>
      </c>
      <c r="L44" s="3">
        <v>66.900000000000006</v>
      </c>
      <c r="M44">
        <v>66.099999999999994</v>
      </c>
      <c r="P44" s="13"/>
    </row>
    <row r="45" spans="1:16" s="6" customFormat="1" hidden="1">
      <c r="A45" s="6" t="s">
        <v>43</v>
      </c>
      <c r="B45" s="6" t="s">
        <v>44</v>
      </c>
      <c r="C45" s="6" t="s">
        <v>96</v>
      </c>
      <c r="D45" s="5">
        <v>48</v>
      </c>
      <c r="E45" s="8">
        <f t="shared" ref="E45" si="2">$P$10+(F45*$P$11)+($P$12*G45)+($P$13*H45)+($P$14*I45)+($P$15*J45)+($P$16*K45)+($P$17*L45)+($P$18*M45)</f>
        <v>37.764249902864748</v>
      </c>
      <c r="F45" s="6">
        <v>2</v>
      </c>
      <c r="G45" s="6">
        <v>332</v>
      </c>
      <c r="H45" s="6">
        <v>32.71</v>
      </c>
      <c r="I45" s="7">
        <v>-15.41</v>
      </c>
      <c r="J45" s="6">
        <v>5.9</v>
      </c>
      <c r="K45" s="7">
        <v>6.55</v>
      </c>
      <c r="L45" s="7">
        <v>66.900000000000006</v>
      </c>
      <c r="M45" s="6">
        <v>66.099999999999994</v>
      </c>
      <c r="P45" s="7"/>
    </row>
    <row r="46" spans="1:16">
      <c r="A46" t="s">
        <v>97</v>
      </c>
      <c r="B46" t="s">
        <v>67</v>
      </c>
      <c r="C46" t="s">
        <v>44</v>
      </c>
      <c r="D46" s="4">
        <v>-16</v>
      </c>
      <c r="E46" s="8">
        <f t="shared" si="0"/>
        <v>-23.062628777069985</v>
      </c>
      <c r="F46">
        <v>125</v>
      </c>
      <c r="G46">
        <v>2</v>
      </c>
      <c r="H46">
        <v>3.91</v>
      </c>
      <c r="I46" s="3">
        <v>32.71</v>
      </c>
      <c r="J46">
        <v>-2.29</v>
      </c>
      <c r="K46" s="3">
        <v>5.9</v>
      </c>
      <c r="L46" s="3">
        <v>66.099999999999994</v>
      </c>
      <c r="M46">
        <v>66.400000000000006</v>
      </c>
    </row>
    <row r="47" spans="1:16" s="6" customFormat="1" hidden="1">
      <c r="A47" s="6" t="s">
        <v>97</v>
      </c>
      <c r="B47" s="6" t="s">
        <v>67</v>
      </c>
      <c r="C47" s="6" t="s">
        <v>44</v>
      </c>
      <c r="D47" s="5">
        <v>-16</v>
      </c>
      <c r="E47" s="8">
        <f t="shared" si="0"/>
        <v>-23.062628777069985</v>
      </c>
      <c r="F47" s="6">
        <v>125</v>
      </c>
      <c r="G47">
        <v>2</v>
      </c>
      <c r="H47" s="6">
        <v>3.91</v>
      </c>
      <c r="I47" s="7">
        <v>32.71</v>
      </c>
      <c r="J47" s="6">
        <v>-2.29</v>
      </c>
      <c r="K47" s="7">
        <v>5.9</v>
      </c>
      <c r="L47" s="7">
        <v>66.099999999999994</v>
      </c>
      <c r="M47" s="6">
        <v>66.400000000000006</v>
      </c>
      <c r="P47" s="7"/>
    </row>
    <row r="48" spans="1:16">
      <c r="A48" t="s">
        <v>87</v>
      </c>
      <c r="B48" s="2" t="s">
        <v>44</v>
      </c>
      <c r="C48" s="2" t="s">
        <v>98</v>
      </c>
      <c r="D48" s="4">
        <v>-23</v>
      </c>
      <c r="E48" s="8">
        <f t="shared" si="0"/>
        <v>-15.237515338447626</v>
      </c>
      <c r="F48">
        <v>2</v>
      </c>
      <c r="G48">
        <v>5</v>
      </c>
      <c r="H48">
        <v>32.71</v>
      </c>
      <c r="I48" s="3">
        <v>30.33</v>
      </c>
      <c r="J48">
        <v>5.9</v>
      </c>
      <c r="K48" s="3">
        <v>-2.4500000000000002</v>
      </c>
      <c r="L48" s="3">
        <v>70.2</v>
      </c>
      <c r="M48">
        <v>66.099999999999994</v>
      </c>
    </row>
    <row r="49" spans="1:16" s="6" customFormat="1" hidden="1">
      <c r="A49" s="6" t="s">
        <v>87</v>
      </c>
      <c r="B49" s="8" t="s">
        <v>44</v>
      </c>
      <c r="C49" s="8" t="s">
        <v>98</v>
      </c>
      <c r="D49" s="5">
        <v>-23</v>
      </c>
      <c r="E49" s="8">
        <f t="shared" si="0"/>
        <v>-15.237515338447626</v>
      </c>
      <c r="F49" s="6">
        <v>2</v>
      </c>
      <c r="G49">
        <v>5</v>
      </c>
      <c r="H49" s="6">
        <v>32.71</v>
      </c>
      <c r="I49" s="7">
        <v>30.33</v>
      </c>
      <c r="J49" s="6">
        <v>5.9</v>
      </c>
      <c r="K49" s="7">
        <v>-2.4500000000000002</v>
      </c>
      <c r="L49" s="7">
        <v>70.2</v>
      </c>
      <c r="M49" s="6">
        <v>66.099999999999994</v>
      </c>
      <c r="P49" s="7"/>
    </row>
    <row r="50" spans="1:16">
      <c r="A50" t="s">
        <v>87</v>
      </c>
      <c r="B50" s="2" t="s">
        <v>44</v>
      </c>
      <c r="C50" s="2" t="s">
        <v>64</v>
      </c>
      <c r="D50" s="5"/>
      <c r="E50" s="8">
        <f t="shared" si="0"/>
        <v>4.7914178804189449</v>
      </c>
      <c r="F50">
        <v>6</v>
      </c>
      <c r="G50">
        <v>112</v>
      </c>
      <c r="H50">
        <v>29.34</v>
      </c>
      <c r="I50" s="3">
        <v>5.91</v>
      </c>
      <c r="J50">
        <v>8.82</v>
      </c>
      <c r="K50" s="3">
        <v>-2.23</v>
      </c>
      <c r="L50" s="3">
        <v>64.400000000000006</v>
      </c>
      <c r="M50">
        <v>65.7</v>
      </c>
    </row>
    <row r="51" spans="1:16">
      <c r="A51" t="s">
        <v>87</v>
      </c>
      <c r="B51" s="2" t="s">
        <v>44</v>
      </c>
      <c r="C51" s="2" t="s">
        <v>49</v>
      </c>
      <c r="D51" s="5"/>
      <c r="E51" s="8"/>
      <c r="F51">
        <v>6</v>
      </c>
      <c r="G51">
        <v>92</v>
      </c>
      <c r="H51">
        <v>29.34</v>
      </c>
      <c r="I51" s="3">
        <v>8.0500000000000007</v>
      </c>
      <c r="J51">
        <v>8.82</v>
      </c>
      <c r="K51" s="3">
        <v>-0.6</v>
      </c>
      <c r="L51" s="3">
        <v>71.099999999999994</v>
      </c>
      <c r="M51">
        <v>65.7</v>
      </c>
    </row>
    <row r="52" spans="1:16">
      <c r="A52" t="s">
        <v>99</v>
      </c>
      <c r="B52" s="2" t="s">
        <v>44</v>
      </c>
      <c r="C52" s="2" t="s">
        <v>60</v>
      </c>
      <c r="D52" s="5"/>
      <c r="E52" s="8"/>
    </row>
    <row r="53" spans="1:16">
      <c r="A53" t="s">
        <v>87</v>
      </c>
      <c r="B53" t="s">
        <v>44</v>
      </c>
      <c r="C53" t="s">
        <v>100</v>
      </c>
      <c r="D53" s="5"/>
      <c r="E53" s="8"/>
    </row>
    <row r="54" spans="1:16">
      <c r="A54" t="s">
        <v>101</v>
      </c>
      <c r="B54" t="s">
        <v>80</v>
      </c>
      <c r="C54" t="s">
        <v>44</v>
      </c>
      <c r="D54" s="5"/>
      <c r="E54" s="8"/>
    </row>
    <row r="55" spans="1:16">
      <c r="A55" t="s">
        <v>87</v>
      </c>
      <c r="B55" t="s">
        <v>44</v>
      </c>
      <c r="C55" t="s">
        <v>70</v>
      </c>
      <c r="D55" s="5"/>
      <c r="E55" s="8"/>
    </row>
    <row r="56" spans="1:16">
      <c r="A56" t="s">
        <v>87</v>
      </c>
      <c r="B56" t="s">
        <v>44</v>
      </c>
      <c r="C56" t="s">
        <v>55</v>
      </c>
      <c r="D56" s="5"/>
      <c r="E56" s="8"/>
    </row>
    <row r="57" spans="1:16">
      <c r="A57" t="s">
        <v>87</v>
      </c>
      <c r="B57" t="s">
        <v>44</v>
      </c>
      <c r="C57" t="s">
        <v>77</v>
      </c>
      <c r="D57" s="5"/>
      <c r="E57" s="8"/>
    </row>
    <row r="58" spans="1:16">
      <c r="A58" t="s">
        <v>102</v>
      </c>
      <c r="B58" t="s">
        <v>78</v>
      </c>
      <c r="C58" t="s">
        <v>44</v>
      </c>
      <c r="D58" s="5"/>
      <c r="E58" s="8"/>
    </row>
    <row r="59" spans="1:16">
      <c r="A59" t="s">
        <v>103</v>
      </c>
      <c r="B59" t="s">
        <v>84</v>
      </c>
      <c r="C59" t="s">
        <v>44</v>
      </c>
      <c r="D59" s="5"/>
      <c r="E59" s="8"/>
    </row>
    <row r="60" spans="1:16">
      <c r="A60" t="s">
        <v>87</v>
      </c>
      <c r="B60" t="s">
        <v>44</v>
      </c>
      <c r="C60" t="s">
        <v>86</v>
      </c>
      <c r="D60" s="5"/>
      <c r="E60" s="8"/>
    </row>
    <row r="61" spans="1:16">
      <c r="A61" t="s">
        <v>104</v>
      </c>
      <c r="B61" t="s">
        <v>75</v>
      </c>
      <c r="C61" t="s">
        <v>44</v>
      </c>
      <c r="D61" s="5"/>
      <c r="E61" s="8"/>
    </row>
    <row r="62" spans="1:16">
      <c r="A62" t="s">
        <v>105</v>
      </c>
      <c r="B62" t="s">
        <v>56</v>
      </c>
      <c r="C62" t="s">
        <v>44</v>
      </c>
      <c r="D62" s="5"/>
      <c r="E62" s="8"/>
    </row>
    <row r="63" spans="1:16">
      <c r="A63" t="s">
        <v>87</v>
      </c>
      <c r="B63" t="s">
        <v>44</v>
      </c>
      <c r="C63" t="s">
        <v>72</v>
      </c>
      <c r="D63" s="5"/>
      <c r="E63" s="8"/>
    </row>
    <row r="64" spans="1:16">
      <c r="A64" t="s">
        <v>106</v>
      </c>
      <c r="B64" t="s">
        <v>68</v>
      </c>
      <c r="C64" t="s">
        <v>44</v>
      </c>
      <c r="D64" s="5"/>
      <c r="E64" s="8"/>
    </row>
    <row r="65" spans="1:5">
      <c r="A65" t="s">
        <v>107</v>
      </c>
      <c r="B65" t="s">
        <v>77</v>
      </c>
      <c r="C65" t="s">
        <v>44</v>
      </c>
      <c r="D65" s="5"/>
      <c r="E65" s="8"/>
    </row>
    <row r="66" spans="1:5">
      <c r="A66" t="s">
        <v>87</v>
      </c>
      <c r="B66" t="s">
        <v>44</v>
      </c>
      <c r="C66" t="s">
        <v>74</v>
      </c>
      <c r="D66" s="5"/>
      <c r="E66" s="8"/>
    </row>
    <row r="67" spans="1:5">
      <c r="A67" t="s">
        <v>87</v>
      </c>
      <c r="B67" t="s">
        <v>44</v>
      </c>
      <c r="C67" t="s">
        <v>75</v>
      </c>
      <c r="D67" s="5"/>
      <c r="E67" s="8"/>
    </row>
    <row r="68" spans="1:5">
      <c r="A68" t="s">
        <v>87</v>
      </c>
      <c r="B68" t="s">
        <v>44</v>
      </c>
      <c r="C68" t="s">
        <v>82</v>
      </c>
      <c r="D68" s="5"/>
      <c r="E68" s="8"/>
    </row>
    <row r="69" spans="1:5">
      <c r="A69" t="s">
        <v>108</v>
      </c>
      <c r="B69" t="s">
        <v>73</v>
      </c>
      <c r="C69" t="s">
        <v>44</v>
      </c>
      <c r="D69" s="5"/>
      <c r="E69" s="8"/>
    </row>
    <row r="70" spans="1:5">
      <c r="A70" t="s">
        <v>109</v>
      </c>
      <c r="B70" t="s">
        <v>65</v>
      </c>
      <c r="C70" t="s">
        <v>44</v>
      </c>
      <c r="D70" s="5"/>
      <c r="E70" s="8"/>
    </row>
    <row r="71" spans="1:5">
      <c r="A71" t="s">
        <v>87</v>
      </c>
      <c r="B71" t="s">
        <v>44</v>
      </c>
      <c r="C71" t="s">
        <v>80</v>
      </c>
      <c r="D71" s="5"/>
      <c r="E71" s="8"/>
    </row>
    <row r="74" spans="1:5">
      <c r="A74" s="6" t="s">
        <v>110</v>
      </c>
    </row>
    <row r="75" spans="1:5">
      <c r="A75" s="3" cm="1">
        <f t="array" ref="A75">AVERAGE((ABS(D2:D48))-(ABS(E2:E48)))</f>
        <v>2.2514978833185828</v>
      </c>
    </row>
    <row r="76" spans="1:5">
      <c r="A76" s="6" t="s">
        <v>111</v>
      </c>
    </row>
    <row r="77" spans="1:5">
      <c r="A77" s="3" cm="1">
        <f t="array" ref="A77">_xlfn.STDEV.P(ABS((D2:D49)-(E2:E49)))</f>
        <v>5.257788230257761</v>
      </c>
    </row>
  </sheetData>
  <conditionalFormatting sqref="E2:E50">
    <cfRule type="expression" dxfId="1" priority="1">
      <formula>ABS(E2-D2)&lt;3</formula>
    </cfRule>
  </conditionalFormatting>
  <conditionalFormatting sqref="E2:E67">
    <cfRule type="expression" dxfId="0" priority="2">
      <formula>ABS(E2-D2)&gt;10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1414-7737-4D4A-97F0-7EB46570DCB0}">
  <dimension ref="A1:I122"/>
  <sheetViews>
    <sheetView workbookViewId="0">
      <selection activeCell="A16" sqref="A16:B25"/>
    </sheetView>
  </sheetViews>
  <sheetFormatPr defaultRowHeight="14.45"/>
  <cols>
    <col min="1" max="1" width="22.85546875" bestFit="1" customWidth="1"/>
    <col min="2" max="2" width="23.140625" bestFit="1" customWidth="1"/>
    <col min="3" max="3" width="13" bestFit="1" customWidth="1"/>
    <col min="4" max="4" width="12.42578125" bestFit="1" customWidth="1"/>
    <col min="5" max="5" width="11.85546875" bestFit="1" customWidth="1"/>
    <col min="6" max="6" width="12.7109375" bestFit="1" customWidth="1"/>
    <col min="7" max="9" width="12.42578125" bestFit="1" customWidth="1"/>
  </cols>
  <sheetData>
    <row r="1" spans="1:9">
      <c r="A1" t="s">
        <v>0</v>
      </c>
    </row>
    <row r="2" spans="1:9" ht="15" thickBot="1"/>
    <row r="3" spans="1:9">
      <c r="A3" s="10" t="s">
        <v>1</v>
      </c>
      <c r="B3" s="10"/>
    </row>
    <row r="4" spans="1:9">
      <c r="A4" t="s">
        <v>2</v>
      </c>
      <c r="B4">
        <v>0.74927512747030067</v>
      </c>
    </row>
    <row r="5" spans="1:9">
      <c r="A5" t="s">
        <v>3</v>
      </c>
      <c r="B5">
        <v>0.56141321664563526</v>
      </c>
    </row>
    <row r="6" spans="1:9">
      <c r="A6" t="s">
        <v>4</v>
      </c>
      <c r="B6">
        <v>0.51862426217203872</v>
      </c>
    </row>
    <row r="7" spans="1:9">
      <c r="A7" t="s">
        <v>5</v>
      </c>
      <c r="B7">
        <v>12.273952777135467</v>
      </c>
    </row>
    <row r="8" spans="1:9" ht="15" thickBot="1">
      <c r="A8" s="1" t="s">
        <v>6</v>
      </c>
      <c r="B8" s="1">
        <v>91</v>
      </c>
    </row>
    <row r="10" spans="1:9" ht="15" thickBot="1">
      <c r="A10" t="s">
        <v>7</v>
      </c>
    </row>
    <row r="11" spans="1:9">
      <c r="A11" s="9"/>
      <c r="B11" s="9" t="s">
        <v>8</v>
      </c>
      <c r="C11" s="9" t="s">
        <v>9</v>
      </c>
      <c r="D11" s="9" t="s">
        <v>10</v>
      </c>
      <c r="E11" s="9" t="s">
        <v>11</v>
      </c>
      <c r="F11" s="9" t="s">
        <v>12</v>
      </c>
    </row>
    <row r="12" spans="1:9">
      <c r="A12" t="s">
        <v>13</v>
      </c>
      <c r="B12">
        <v>8</v>
      </c>
      <c r="C12">
        <v>15812.838692553043</v>
      </c>
      <c r="D12">
        <v>1976.6048365691304</v>
      </c>
      <c r="E12">
        <v>13.120517281908864</v>
      </c>
      <c r="F12">
        <v>5.2308763043607147E-12</v>
      </c>
    </row>
    <row r="13" spans="1:9">
      <c r="A13" t="s">
        <v>14</v>
      </c>
      <c r="B13">
        <v>82</v>
      </c>
      <c r="C13">
        <v>12353.293175578816</v>
      </c>
      <c r="D13">
        <v>150.64991677535141</v>
      </c>
    </row>
    <row r="14" spans="1:9" ht="15" thickBot="1">
      <c r="A14" s="1" t="s">
        <v>15</v>
      </c>
      <c r="B14" s="1">
        <v>90</v>
      </c>
      <c r="C14" s="1">
        <v>28166.131868131859</v>
      </c>
      <c r="D14" s="1"/>
      <c r="E14" s="1"/>
      <c r="F14" s="1"/>
    </row>
    <row r="15" spans="1:9" ht="15" thickBot="1"/>
    <row r="16" spans="1:9">
      <c r="A16" s="9"/>
      <c r="B16" s="9" t="s">
        <v>16</v>
      </c>
      <c r="C16" s="9" t="s">
        <v>5</v>
      </c>
      <c r="D16" s="9" t="s">
        <v>17</v>
      </c>
      <c r="E16" s="9" t="s">
        <v>18</v>
      </c>
      <c r="F16" s="9" t="s">
        <v>19</v>
      </c>
      <c r="G16" s="9" t="s">
        <v>20</v>
      </c>
      <c r="H16" s="9" t="s">
        <v>21</v>
      </c>
      <c r="I16" s="9" t="s">
        <v>22</v>
      </c>
    </row>
    <row r="17" spans="1:9">
      <c r="A17" t="s">
        <v>23</v>
      </c>
      <c r="B17">
        <v>39.669418178716668</v>
      </c>
      <c r="C17">
        <v>79.138243905751366</v>
      </c>
      <c r="D17">
        <v>0.50126735470603101</v>
      </c>
      <c r="E17">
        <v>0.61752603519370186</v>
      </c>
      <c r="F17">
        <v>-117.76175900219464</v>
      </c>
      <c r="G17">
        <v>197.10059535962796</v>
      </c>
      <c r="H17">
        <v>-117.76175900219464</v>
      </c>
      <c r="I17">
        <v>197.10059535962796</v>
      </c>
    </row>
    <row r="18" spans="1:9">
      <c r="A18" t="s">
        <v>24</v>
      </c>
      <c r="B18">
        <v>-0.3047127609357167</v>
      </c>
      <c r="C18">
        <v>0.14943611627440595</v>
      </c>
      <c r="D18">
        <v>-2.039083780631584</v>
      </c>
      <c r="E18">
        <v>4.4662743307291787E-2</v>
      </c>
      <c r="F18">
        <v>-0.60198880014681078</v>
      </c>
      <c r="G18">
        <v>-7.4367217246226747E-3</v>
      </c>
      <c r="H18">
        <v>-0.60198880014681078</v>
      </c>
      <c r="I18">
        <v>-7.4367217246226747E-3</v>
      </c>
    </row>
    <row r="19" spans="1:9">
      <c r="A19" t="s">
        <v>25</v>
      </c>
      <c r="B19">
        <v>0.14662185498795594</v>
      </c>
      <c r="C19">
        <v>2.5596110796403483E-2</v>
      </c>
      <c r="D19">
        <v>5.7282864632918304</v>
      </c>
      <c r="E19">
        <v>1.6228482854496457E-7</v>
      </c>
      <c r="F19">
        <v>9.5703036790146759E-2</v>
      </c>
      <c r="G19">
        <v>0.19754067318576513</v>
      </c>
      <c r="H19">
        <v>9.5703036790146759E-2</v>
      </c>
      <c r="I19">
        <v>0.19754067318576513</v>
      </c>
    </row>
    <row r="20" spans="1:9">
      <c r="A20" t="s">
        <v>26</v>
      </c>
      <c r="B20">
        <v>-1.0836074009086587</v>
      </c>
      <c r="C20">
        <v>0.61719621191835383</v>
      </c>
      <c r="D20">
        <v>-1.7556935379441447</v>
      </c>
      <c r="E20">
        <v>8.2875008843430562E-2</v>
      </c>
      <c r="F20">
        <v>-2.3114072786722355</v>
      </c>
      <c r="G20">
        <v>0.14419247685491809</v>
      </c>
      <c r="H20">
        <v>-2.3114072786722355</v>
      </c>
      <c r="I20">
        <v>0.14419247685491809</v>
      </c>
    </row>
    <row r="21" spans="1:9">
      <c r="A21" t="s">
        <v>27</v>
      </c>
      <c r="B21">
        <v>-7.2855335176414515E-2</v>
      </c>
      <c r="C21">
        <v>7.2710851066614998E-2</v>
      </c>
      <c r="D21">
        <v>-1.0019871051937921</v>
      </c>
      <c r="E21">
        <v>0.31929749664986745</v>
      </c>
      <c r="F21">
        <v>-0.21750038050842513</v>
      </c>
      <c r="G21">
        <v>7.1789710155596098E-2</v>
      </c>
      <c r="H21">
        <v>-0.21750038050842513</v>
      </c>
      <c r="I21">
        <v>7.1789710155596098E-2</v>
      </c>
    </row>
    <row r="22" spans="1:9">
      <c r="A22" t="s">
        <v>28</v>
      </c>
      <c r="B22">
        <v>0.21626823232143658</v>
      </c>
      <c r="C22">
        <v>0.25564534132947858</v>
      </c>
      <c r="D22">
        <v>0.84596977670994467</v>
      </c>
      <c r="E22">
        <v>0.40003154160239618</v>
      </c>
      <c r="F22">
        <v>-0.2922917892308079</v>
      </c>
      <c r="G22">
        <v>0.72482825387368099</v>
      </c>
      <c r="H22">
        <v>-0.2922917892308079</v>
      </c>
      <c r="I22">
        <v>0.72482825387368099</v>
      </c>
    </row>
    <row r="23" spans="1:9">
      <c r="A23" t="s">
        <v>29</v>
      </c>
      <c r="B23">
        <v>-4.260046330690246E-2</v>
      </c>
      <c r="C23">
        <v>0.23442603206100865</v>
      </c>
      <c r="D23">
        <v>-0.1817224091214231</v>
      </c>
      <c r="E23">
        <v>0.85624904095598053</v>
      </c>
      <c r="F23">
        <v>-0.50894851916175965</v>
      </c>
      <c r="G23">
        <v>0.42374759254795469</v>
      </c>
      <c r="H23">
        <v>-0.50894851916175965</v>
      </c>
      <c r="I23">
        <v>0.42374759254795469</v>
      </c>
    </row>
    <row r="24" spans="1:9">
      <c r="A24" t="s">
        <v>30</v>
      </c>
      <c r="B24">
        <v>0.60560993375356453</v>
      </c>
      <c r="C24">
        <v>0.6273201652822703</v>
      </c>
      <c r="D24">
        <v>0.96539210321903646</v>
      </c>
      <c r="E24">
        <v>0.33718701910321069</v>
      </c>
      <c r="F24">
        <v>-0.64232971230843638</v>
      </c>
      <c r="G24">
        <v>1.8535495798155655</v>
      </c>
      <c r="H24">
        <v>-0.64232971230843638</v>
      </c>
      <c r="I24">
        <v>1.8535495798155655</v>
      </c>
    </row>
    <row r="25" spans="1:9" ht="15" thickBot="1">
      <c r="A25" s="1" t="s">
        <v>31</v>
      </c>
      <c r="B25" s="1">
        <v>-0.76640716214843108</v>
      </c>
      <c r="C25" s="1">
        <v>0.71084003469176693</v>
      </c>
      <c r="D25" s="1">
        <v>-1.0781710718934943</v>
      </c>
      <c r="E25" s="1">
        <v>0.2841188903676527</v>
      </c>
      <c r="F25" s="1">
        <v>-2.1804944343163668</v>
      </c>
      <c r="G25" s="1">
        <v>0.64768011001950454</v>
      </c>
      <c r="H25" s="1">
        <v>-2.1804944343163668</v>
      </c>
      <c r="I25" s="1">
        <v>0.64768011001950454</v>
      </c>
    </row>
    <row r="29" spans="1:9">
      <c r="A29" t="s">
        <v>32</v>
      </c>
    </row>
    <row r="30" spans="1:9" ht="15" thickBot="1"/>
    <row r="31" spans="1:9">
      <c r="A31" s="9" t="s">
        <v>33</v>
      </c>
      <c r="B31" s="9" t="s">
        <v>112</v>
      </c>
      <c r="C31" s="9" t="s">
        <v>35</v>
      </c>
    </row>
    <row r="32" spans="1:9">
      <c r="A32">
        <v>1</v>
      </c>
      <c r="B32">
        <v>31.925805625202472</v>
      </c>
      <c r="C32">
        <v>-9.9258056252024716</v>
      </c>
    </row>
    <row r="33" spans="1:3">
      <c r="A33">
        <v>2</v>
      </c>
      <c r="B33">
        <v>12.475747243180493</v>
      </c>
      <c r="C33">
        <v>-4.4757472431804928</v>
      </c>
    </row>
    <row r="34" spans="1:3">
      <c r="A34">
        <v>3</v>
      </c>
      <c r="B34">
        <v>4.7637473367994545</v>
      </c>
      <c r="C34">
        <v>4.2362526632005455</v>
      </c>
    </row>
    <row r="35" spans="1:3">
      <c r="A35">
        <v>4</v>
      </c>
      <c r="B35">
        <v>-8.793899120481889</v>
      </c>
      <c r="C35">
        <v>-9.206100879518111</v>
      </c>
    </row>
    <row r="36" spans="1:3">
      <c r="A36">
        <v>5</v>
      </c>
      <c r="B36">
        <v>30.984991928570324</v>
      </c>
      <c r="C36">
        <v>4.0150080714296763</v>
      </c>
    </row>
    <row r="37" spans="1:3">
      <c r="A37">
        <v>6</v>
      </c>
      <c r="B37">
        <v>0.82316785441584273</v>
      </c>
      <c r="C37">
        <v>-10.823167854415843</v>
      </c>
    </row>
    <row r="38" spans="1:3">
      <c r="A38">
        <v>7</v>
      </c>
      <c r="B38">
        <v>-1.7828130094885211</v>
      </c>
      <c r="C38">
        <v>-0.21718699051147894</v>
      </c>
    </row>
    <row r="39" spans="1:3">
      <c r="A39">
        <v>8</v>
      </c>
      <c r="B39">
        <v>-2.9679690492674098</v>
      </c>
      <c r="C39">
        <v>-8.0320309507325902</v>
      </c>
    </row>
    <row r="40" spans="1:3">
      <c r="A40">
        <v>9</v>
      </c>
      <c r="B40">
        <v>2.4615366154145022</v>
      </c>
      <c r="C40">
        <v>2.5384633845854978</v>
      </c>
    </row>
    <row r="41" spans="1:3">
      <c r="A41">
        <v>10</v>
      </c>
      <c r="B41">
        <v>-1.3870410111323395E-2</v>
      </c>
      <c r="C41">
        <v>-3.9861295898886766</v>
      </c>
    </row>
    <row r="42" spans="1:3">
      <c r="A42">
        <v>11</v>
      </c>
      <c r="B42">
        <v>-8.4905558778490473</v>
      </c>
      <c r="C42">
        <v>-9.5094441221509527</v>
      </c>
    </row>
    <row r="43" spans="1:3">
      <c r="A43">
        <v>12</v>
      </c>
      <c r="B43">
        <v>26.185702338563758</v>
      </c>
      <c r="C43">
        <v>-7.1857023385637575</v>
      </c>
    </row>
    <row r="44" spans="1:3">
      <c r="A44">
        <v>13</v>
      </c>
      <c r="B44">
        <v>-11.615410867434143</v>
      </c>
      <c r="C44">
        <v>-8.384589132565857</v>
      </c>
    </row>
    <row r="45" spans="1:3">
      <c r="A45">
        <v>14</v>
      </c>
      <c r="B45">
        <v>5.4903358355604297</v>
      </c>
      <c r="C45">
        <v>12.50966416443957</v>
      </c>
    </row>
    <row r="46" spans="1:3">
      <c r="A46">
        <v>15</v>
      </c>
      <c r="B46">
        <v>-6.5656980096863222</v>
      </c>
      <c r="C46">
        <v>-11.434301990313678</v>
      </c>
    </row>
    <row r="47" spans="1:3">
      <c r="A47">
        <v>16</v>
      </c>
      <c r="B47">
        <v>7.3721557071624559</v>
      </c>
      <c r="C47">
        <v>28.627844292837544</v>
      </c>
    </row>
    <row r="48" spans="1:3">
      <c r="A48">
        <v>17</v>
      </c>
      <c r="B48">
        <v>-18.889181827076342</v>
      </c>
      <c r="C48">
        <v>7.8891818270763423</v>
      </c>
    </row>
    <row r="49" spans="1:3">
      <c r="A49">
        <v>18</v>
      </c>
      <c r="B49">
        <v>0.25554461461271671</v>
      </c>
      <c r="C49">
        <v>-7.2555446146127167</v>
      </c>
    </row>
    <row r="50" spans="1:3">
      <c r="A50">
        <v>19</v>
      </c>
      <c r="B50">
        <v>5.4945167295870334</v>
      </c>
      <c r="C50">
        <v>-8.4945167295870334</v>
      </c>
    </row>
    <row r="51" spans="1:3">
      <c r="A51">
        <v>20</v>
      </c>
      <c r="B51">
        <v>4.467960419471396</v>
      </c>
      <c r="C51">
        <v>22.532039580528604</v>
      </c>
    </row>
    <row r="52" spans="1:3">
      <c r="A52">
        <v>21</v>
      </c>
      <c r="B52">
        <v>7.4115452141108165</v>
      </c>
      <c r="C52">
        <v>-2.4115452141108165</v>
      </c>
    </row>
    <row r="53" spans="1:3">
      <c r="A53">
        <v>22</v>
      </c>
      <c r="B53">
        <v>-7.3109535895048552</v>
      </c>
      <c r="C53">
        <v>-1.6890464104951448</v>
      </c>
    </row>
    <row r="54" spans="1:3">
      <c r="A54">
        <v>23</v>
      </c>
      <c r="B54">
        <v>9.6641434420026968</v>
      </c>
      <c r="C54">
        <v>8.3358565579973032</v>
      </c>
    </row>
    <row r="55" spans="1:3">
      <c r="A55">
        <v>24</v>
      </c>
      <c r="B55">
        <v>-3.2187813622014119</v>
      </c>
      <c r="C55">
        <v>1.2187813622014119</v>
      </c>
    </row>
    <row r="56" spans="1:3">
      <c r="A56">
        <v>25</v>
      </c>
      <c r="B56">
        <v>1.7361791630929773</v>
      </c>
      <c r="C56">
        <v>-11.736179163092977</v>
      </c>
    </row>
    <row r="57" spans="1:3">
      <c r="A57">
        <v>26</v>
      </c>
      <c r="B57">
        <v>-2.8107855438806695</v>
      </c>
      <c r="C57">
        <v>-6.1892144561193305</v>
      </c>
    </row>
    <row r="58" spans="1:3">
      <c r="A58">
        <v>27</v>
      </c>
      <c r="B58">
        <v>-5.9139576915614782</v>
      </c>
      <c r="C58">
        <v>-9.0860423084385218</v>
      </c>
    </row>
    <row r="59" spans="1:3">
      <c r="A59">
        <v>28</v>
      </c>
      <c r="B59">
        <v>1.3376484979896262</v>
      </c>
      <c r="C59">
        <v>8.6623515020103738</v>
      </c>
    </row>
    <row r="60" spans="1:3">
      <c r="A60">
        <v>29</v>
      </c>
      <c r="B60">
        <v>11.902821807002375</v>
      </c>
      <c r="C60">
        <v>17.097178192997625</v>
      </c>
    </row>
    <row r="61" spans="1:3">
      <c r="A61">
        <v>30</v>
      </c>
      <c r="B61">
        <v>-3.8923658918336699</v>
      </c>
      <c r="C61">
        <v>-4.1076341081663301</v>
      </c>
    </row>
    <row r="62" spans="1:3">
      <c r="A62">
        <v>31</v>
      </c>
      <c r="B62">
        <v>6.6705489393907769</v>
      </c>
      <c r="C62">
        <v>9.3294510606092231</v>
      </c>
    </row>
    <row r="63" spans="1:3">
      <c r="A63">
        <v>32</v>
      </c>
      <c r="B63">
        <v>4.762300340744595</v>
      </c>
      <c r="C63">
        <v>6.237699659255405</v>
      </c>
    </row>
    <row r="64" spans="1:3">
      <c r="A64">
        <v>33</v>
      </c>
      <c r="B64">
        <v>3.9786044139065524</v>
      </c>
      <c r="C64">
        <v>24.021395586093448</v>
      </c>
    </row>
    <row r="65" spans="1:3">
      <c r="A65">
        <v>34</v>
      </c>
      <c r="B65">
        <v>0.6593306784245101</v>
      </c>
      <c r="C65">
        <v>15.34066932157549</v>
      </c>
    </row>
    <row r="66" spans="1:3">
      <c r="A66">
        <v>35</v>
      </c>
      <c r="B66">
        <v>0.10087222986719979</v>
      </c>
      <c r="C66">
        <v>-16.1008722298672</v>
      </c>
    </row>
    <row r="67" spans="1:3">
      <c r="A67">
        <v>36</v>
      </c>
      <c r="B67">
        <v>24.967310285652466</v>
      </c>
      <c r="C67">
        <v>1.0326897143475335</v>
      </c>
    </row>
    <row r="68" spans="1:3">
      <c r="A68">
        <v>37</v>
      </c>
      <c r="B68">
        <v>21.809368354596366</v>
      </c>
      <c r="C68">
        <v>-2.8093683545963657</v>
      </c>
    </row>
    <row r="69" spans="1:3">
      <c r="A69">
        <v>38</v>
      </c>
      <c r="B69">
        <v>7.4143286917543989</v>
      </c>
      <c r="C69">
        <v>7.5856713082456011</v>
      </c>
    </row>
    <row r="70" spans="1:3">
      <c r="A70">
        <v>39</v>
      </c>
      <c r="B70">
        <v>4.014386673087003</v>
      </c>
      <c r="C70">
        <v>12.985613326912997</v>
      </c>
    </row>
    <row r="71" spans="1:3">
      <c r="A71">
        <v>40</v>
      </c>
      <c r="B71">
        <v>12.099091191515747</v>
      </c>
      <c r="C71">
        <v>-3.0990911915157469</v>
      </c>
    </row>
    <row r="72" spans="1:3">
      <c r="A72">
        <v>41</v>
      </c>
      <c r="B72">
        <v>27.007971027831623</v>
      </c>
      <c r="C72">
        <v>-18.007971027831623</v>
      </c>
    </row>
    <row r="73" spans="1:3">
      <c r="A73">
        <v>42</v>
      </c>
      <c r="B73">
        <v>8.8974213448799233</v>
      </c>
      <c r="C73">
        <v>1.1025786551200767</v>
      </c>
    </row>
    <row r="74" spans="1:3">
      <c r="A74">
        <v>43</v>
      </c>
      <c r="B74">
        <v>0.95187030122089311</v>
      </c>
      <c r="C74">
        <v>-6.9518703012208931</v>
      </c>
    </row>
    <row r="75" spans="1:3">
      <c r="A75">
        <v>44</v>
      </c>
      <c r="B75">
        <v>6.6587429798802376</v>
      </c>
      <c r="C75">
        <v>6.3412570201197624</v>
      </c>
    </row>
    <row r="76" spans="1:3">
      <c r="A76">
        <v>45</v>
      </c>
      <c r="B76">
        <v>1.474306659167361</v>
      </c>
      <c r="C76">
        <v>23.525693340832639</v>
      </c>
    </row>
    <row r="77" spans="1:3">
      <c r="A77">
        <v>46</v>
      </c>
      <c r="B77">
        <v>1.6362600389636981</v>
      </c>
      <c r="C77">
        <v>-26.636260038963698</v>
      </c>
    </row>
    <row r="78" spans="1:3">
      <c r="A78">
        <v>47</v>
      </c>
      <c r="B78">
        <v>5.491607434406653</v>
      </c>
      <c r="C78">
        <v>-6.491607434406653</v>
      </c>
    </row>
    <row r="79" spans="1:3">
      <c r="A79">
        <v>48</v>
      </c>
      <c r="B79">
        <v>6.7374903770723051</v>
      </c>
      <c r="C79">
        <v>2.2625096229276949</v>
      </c>
    </row>
    <row r="80" spans="1:3">
      <c r="A80">
        <v>49</v>
      </c>
      <c r="B80">
        <v>-0.54386384670794286</v>
      </c>
      <c r="C80">
        <v>-0.45613615329205714</v>
      </c>
    </row>
    <row r="81" spans="1:3">
      <c r="A81">
        <v>50</v>
      </c>
      <c r="B81">
        <v>7.4115452141108165</v>
      </c>
      <c r="C81">
        <v>-2.4115452141108165</v>
      </c>
    </row>
    <row r="82" spans="1:3">
      <c r="A82">
        <v>51</v>
      </c>
      <c r="B82">
        <v>4.3096596135112435</v>
      </c>
      <c r="C82">
        <v>7.6903403864887565</v>
      </c>
    </row>
    <row r="83" spans="1:3">
      <c r="A83">
        <v>52</v>
      </c>
      <c r="B83">
        <v>1.4625599573489438</v>
      </c>
      <c r="C83">
        <v>-4.4625599573489438</v>
      </c>
    </row>
    <row r="84" spans="1:3">
      <c r="A84">
        <v>53</v>
      </c>
      <c r="B84">
        <v>4.1878278276695653</v>
      </c>
      <c r="C84">
        <v>-8.1878278276695653</v>
      </c>
    </row>
    <row r="85" spans="1:3">
      <c r="A85">
        <v>54</v>
      </c>
      <c r="B85">
        <v>-1.6677519641328331</v>
      </c>
      <c r="C85">
        <v>-2.3322480358671669</v>
      </c>
    </row>
    <row r="86" spans="1:3">
      <c r="A86">
        <v>55</v>
      </c>
      <c r="B86">
        <v>-2.5924686195618776</v>
      </c>
      <c r="C86">
        <v>17.592468619561878</v>
      </c>
    </row>
    <row r="87" spans="1:3">
      <c r="A87">
        <v>56</v>
      </c>
      <c r="B87">
        <v>7.8263005955187168</v>
      </c>
      <c r="C87">
        <v>-2.8263005955187168</v>
      </c>
    </row>
    <row r="88" spans="1:3">
      <c r="A88">
        <v>57</v>
      </c>
      <c r="B88">
        <v>-1.3267159768904406</v>
      </c>
      <c r="C88">
        <v>-14.673284023109559</v>
      </c>
    </row>
    <row r="89" spans="1:3">
      <c r="A89">
        <v>58</v>
      </c>
      <c r="B89">
        <v>4.9196914488816574</v>
      </c>
      <c r="C89">
        <v>4.0803085511183426</v>
      </c>
    </row>
    <row r="90" spans="1:3">
      <c r="A90">
        <v>59</v>
      </c>
      <c r="B90">
        <v>2.4891162674645742</v>
      </c>
      <c r="C90">
        <v>3.5108837325354258</v>
      </c>
    </row>
    <row r="91" spans="1:3">
      <c r="A91">
        <v>60</v>
      </c>
      <c r="B91">
        <v>4.9196914488816574</v>
      </c>
      <c r="C91">
        <v>8.0803085511183426</v>
      </c>
    </row>
    <row r="92" spans="1:3">
      <c r="A92">
        <v>61</v>
      </c>
      <c r="B92">
        <v>17.623761590272366</v>
      </c>
      <c r="C92">
        <v>-7.6237615902723661</v>
      </c>
    </row>
    <row r="93" spans="1:3">
      <c r="A93">
        <v>62</v>
      </c>
      <c r="B93">
        <v>17.623761590272366</v>
      </c>
      <c r="C93">
        <v>-7.6237615902723661</v>
      </c>
    </row>
    <row r="94" spans="1:3">
      <c r="A94">
        <v>63</v>
      </c>
      <c r="B94">
        <v>-7.9782331524267249</v>
      </c>
      <c r="C94">
        <v>0.97823315242672493</v>
      </c>
    </row>
    <row r="95" spans="1:3">
      <c r="A95">
        <v>64</v>
      </c>
      <c r="B95">
        <v>-7.9782331524267249</v>
      </c>
      <c r="C95">
        <v>0.97823315242672493</v>
      </c>
    </row>
    <row r="96" spans="1:3">
      <c r="A96">
        <v>65</v>
      </c>
      <c r="B96">
        <v>5.1509762087824527</v>
      </c>
      <c r="C96">
        <v>12.849023791217547</v>
      </c>
    </row>
    <row r="97" spans="1:3">
      <c r="A97">
        <v>66</v>
      </c>
      <c r="B97">
        <v>5.1509762087824527</v>
      </c>
      <c r="C97">
        <v>12.849023791217547</v>
      </c>
    </row>
    <row r="98" spans="1:3">
      <c r="A98">
        <v>67</v>
      </c>
      <c r="B98">
        <v>-9.7903485156559924</v>
      </c>
      <c r="C98">
        <v>0.7903485156559924</v>
      </c>
    </row>
    <row r="99" spans="1:3">
      <c r="A99">
        <v>68</v>
      </c>
      <c r="B99">
        <v>-9.7903485156559924</v>
      </c>
      <c r="C99">
        <v>0.7903485156559924</v>
      </c>
    </row>
    <row r="100" spans="1:3">
      <c r="A100">
        <v>69</v>
      </c>
      <c r="B100">
        <v>-3.9918211282008969</v>
      </c>
      <c r="C100">
        <v>-26.008178871799103</v>
      </c>
    </row>
    <row r="101" spans="1:3">
      <c r="A101">
        <v>70</v>
      </c>
      <c r="B101">
        <v>-3.9918211282008969</v>
      </c>
      <c r="C101">
        <v>-26.008178871799103</v>
      </c>
    </row>
    <row r="102" spans="1:3">
      <c r="A102">
        <v>71</v>
      </c>
      <c r="B102">
        <v>-16.351652110517414</v>
      </c>
      <c r="C102">
        <v>0.35165211051741352</v>
      </c>
    </row>
    <row r="103" spans="1:3">
      <c r="A103">
        <v>72</v>
      </c>
      <c r="B103">
        <v>-16.351652110517414</v>
      </c>
      <c r="C103">
        <v>0.35165211051741352</v>
      </c>
    </row>
    <row r="104" spans="1:3">
      <c r="A104">
        <v>73</v>
      </c>
      <c r="B104">
        <v>-4.6267408305505384</v>
      </c>
      <c r="C104">
        <v>-18.373259169449462</v>
      </c>
    </row>
    <row r="105" spans="1:3">
      <c r="A105">
        <v>74</v>
      </c>
      <c r="B105">
        <v>-4.6267408305505384</v>
      </c>
      <c r="C105">
        <v>-18.373259169449462</v>
      </c>
    </row>
    <row r="106" spans="1:3">
      <c r="A106">
        <v>75</v>
      </c>
      <c r="B106">
        <v>35.312502728944487</v>
      </c>
      <c r="C106">
        <v>11.687497271055513</v>
      </c>
    </row>
    <row r="107" spans="1:3">
      <c r="A107">
        <v>76</v>
      </c>
      <c r="B107">
        <v>35.312502728944487</v>
      </c>
      <c r="C107">
        <v>11.687497271055513</v>
      </c>
    </row>
    <row r="108" spans="1:3">
      <c r="A108">
        <v>77</v>
      </c>
      <c r="B108">
        <v>12.389959417210925</v>
      </c>
      <c r="C108">
        <v>10.610040582789075</v>
      </c>
    </row>
    <row r="109" spans="1:3">
      <c r="A109">
        <v>78</v>
      </c>
      <c r="B109">
        <v>12.389959417210925</v>
      </c>
      <c r="C109">
        <v>10.610040582789075</v>
      </c>
    </row>
    <row r="110" spans="1:3">
      <c r="A110">
        <v>79</v>
      </c>
      <c r="B110">
        <v>33.311206873806462</v>
      </c>
      <c r="C110">
        <v>-2.3112068738064622</v>
      </c>
    </row>
    <row r="111" spans="1:3">
      <c r="A111">
        <v>80</v>
      </c>
      <c r="B111">
        <v>33.311206873806462</v>
      </c>
      <c r="C111">
        <v>-2.3112068738064622</v>
      </c>
    </row>
    <row r="112" spans="1:3">
      <c r="A112">
        <v>81</v>
      </c>
      <c r="B112">
        <v>24.780030005184337</v>
      </c>
      <c r="C112">
        <v>-16.780030005184337</v>
      </c>
    </row>
    <row r="113" spans="1:3">
      <c r="A113">
        <v>82</v>
      </c>
      <c r="B113">
        <v>24.780030005184337</v>
      </c>
      <c r="C113">
        <v>-16.780030005184337</v>
      </c>
    </row>
    <row r="114" spans="1:3">
      <c r="A114">
        <v>83</v>
      </c>
      <c r="B114">
        <v>36.982048269587587</v>
      </c>
      <c r="C114">
        <v>-16.982048269587587</v>
      </c>
    </row>
    <row r="115" spans="1:3">
      <c r="A115">
        <v>84</v>
      </c>
      <c r="B115">
        <v>36.982048269587587</v>
      </c>
      <c r="C115">
        <v>-16.982048269587587</v>
      </c>
    </row>
    <row r="116" spans="1:3">
      <c r="A116">
        <v>85</v>
      </c>
      <c r="B116">
        <v>11.531082668220272</v>
      </c>
      <c r="C116">
        <v>5.4689173317797284</v>
      </c>
    </row>
    <row r="117" spans="1:3">
      <c r="A117">
        <v>86</v>
      </c>
      <c r="B117">
        <v>11.531082668220272</v>
      </c>
      <c r="C117">
        <v>5.4689173317797284</v>
      </c>
    </row>
    <row r="118" spans="1:3">
      <c r="A118">
        <v>87</v>
      </c>
      <c r="B118">
        <v>29.9454187721363</v>
      </c>
      <c r="C118">
        <v>14.0545812278637</v>
      </c>
    </row>
    <row r="119" spans="1:3">
      <c r="A119">
        <v>88</v>
      </c>
      <c r="B119">
        <v>29.9454187721363</v>
      </c>
      <c r="C119">
        <v>14.0545812278637</v>
      </c>
    </row>
    <row r="120" spans="1:3">
      <c r="A120">
        <v>89</v>
      </c>
      <c r="B120">
        <v>-6.3601796243491435</v>
      </c>
      <c r="C120">
        <v>15.360179624349144</v>
      </c>
    </row>
    <row r="121" spans="1:3">
      <c r="A121">
        <v>90</v>
      </c>
      <c r="B121">
        <v>-6.3601796243491435</v>
      </c>
      <c r="C121">
        <v>15.360179624349144</v>
      </c>
    </row>
    <row r="122" spans="1:3" ht="15" thickBot="1">
      <c r="A122" s="1">
        <v>91</v>
      </c>
      <c r="B122" s="1">
        <v>-4.070734395708854</v>
      </c>
      <c r="C122" s="1">
        <v>13.070734395708854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91E5-68D5-417C-901A-1D6FF6140644}">
  <dimension ref="A1:P73"/>
  <sheetViews>
    <sheetView topLeftCell="A26" workbookViewId="0">
      <selection activeCell="C80" sqref="C80"/>
    </sheetView>
  </sheetViews>
  <sheetFormatPr defaultRowHeight="14.45"/>
  <cols>
    <col min="1" max="1" width="39.140625" bestFit="1" customWidth="1"/>
    <col min="2" max="2" width="12.7109375" bestFit="1" customWidth="1"/>
    <col min="3" max="3" width="15.85546875" bestFit="1" customWidth="1"/>
    <col min="4" max="4" width="14.28515625" style="4" bestFit="1" customWidth="1"/>
    <col min="5" max="5" width="22.5703125" style="2" bestFit="1" customWidth="1"/>
    <col min="6" max="6" width="15" bestFit="1" customWidth="1"/>
    <col min="7" max="8" width="14.42578125" bestFit="1" customWidth="1"/>
    <col min="9" max="9" width="13.85546875" style="3" bestFit="1" customWidth="1"/>
    <col min="10" max="10" width="22.85546875" bestFit="1" customWidth="1"/>
    <col min="11" max="11" width="22.140625" style="3" bestFit="1" customWidth="1"/>
    <col min="12" max="12" width="10.85546875" style="3" bestFit="1" customWidth="1"/>
    <col min="13" max="13" width="11.42578125" bestFit="1" customWidth="1"/>
    <col min="15" max="15" width="22.140625" bestFit="1" customWidth="1"/>
    <col min="16" max="16" width="15.5703125" style="3" bestFit="1" customWidth="1"/>
    <col min="17" max="17" width="22.140625" bestFit="1" customWidth="1"/>
    <col min="18" max="18" width="14.5703125" bestFit="1" customWidth="1"/>
  </cols>
  <sheetData>
    <row r="1" spans="1:16">
      <c r="A1" t="s">
        <v>36</v>
      </c>
      <c r="B1" t="s">
        <v>37</v>
      </c>
      <c r="C1" t="s">
        <v>38</v>
      </c>
      <c r="D1" s="4" t="s">
        <v>113</v>
      </c>
      <c r="E1" s="2" t="s">
        <v>112</v>
      </c>
      <c r="F1" t="s">
        <v>24</v>
      </c>
      <c r="G1" t="s">
        <v>25</v>
      </c>
      <c r="H1" t="s">
        <v>26</v>
      </c>
      <c r="I1" s="3" t="s">
        <v>27</v>
      </c>
      <c r="J1" t="s">
        <v>28</v>
      </c>
      <c r="K1" s="3" t="s">
        <v>29</v>
      </c>
      <c r="L1" s="3" t="s">
        <v>30</v>
      </c>
      <c r="M1" t="s">
        <v>31</v>
      </c>
    </row>
    <row r="2" spans="1:16">
      <c r="A2" t="s">
        <v>43</v>
      </c>
      <c r="B2" t="s">
        <v>44</v>
      </c>
      <c r="C2" t="s">
        <v>45</v>
      </c>
      <c r="D2" s="4">
        <v>22</v>
      </c>
      <c r="E2" s="8">
        <f t="shared" ref="E2:E12" si="0">$P$10+(F2*$P$11)+($P$12*G2)+($P$13*H2)+($P$14*I2)+($P$15*J2)+($P$16*K2)+($P$17*L2)+($P$18*M2)</f>
        <v>31.925805625202472</v>
      </c>
      <c r="F2">
        <v>15</v>
      </c>
      <c r="G2">
        <v>193</v>
      </c>
      <c r="H2">
        <v>25.36</v>
      </c>
      <c r="I2" s="3">
        <v>-2.85</v>
      </c>
      <c r="J2">
        <v>16.760000000000002</v>
      </c>
      <c r="K2" s="3">
        <v>-2.38</v>
      </c>
      <c r="L2" s="3">
        <v>69.3</v>
      </c>
      <c r="M2">
        <v>65.099999999999994</v>
      </c>
    </row>
    <row r="3" spans="1:16">
      <c r="A3" t="s">
        <v>43</v>
      </c>
      <c r="B3" t="s">
        <v>44</v>
      </c>
      <c r="C3" t="s">
        <v>46</v>
      </c>
      <c r="D3" s="4">
        <v>8</v>
      </c>
      <c r="E3" s="8">
        <f t="shared" si="0"/>
        <v>12.475747243180493</v>
      </c>
      <c r="F3">
        <v>15</v>
      </c>
      <c r="G3">
        <v>74</v>
      </c>
      <c r="H3">
        <v>25.36</v>
      </c>
      <c r="I3" s="3">
        <v>11.02</v>
      </c>
      <c r="J3">
        <v>16.760000000000002</v>
      </c>
      <c r="K3" s="3">
        <v>-1.85</v>
      </c>
      <c r="L3" s="3">
        <v>67.7</v>
      </c>
      <c r="M3">
        <v>65.099999999999994</v>
      </c>
    </row>
    <row r="4" spans="1:16">
      <c r="A4" t="s">
        <v>43</v>
      </c>
      <c r="B4" t="s">
        <v>44</v>
      </c>
      <c r="C4" t="s">
        <v>47</v>
      </c>
      <c r="D4" s="4">
        <v>9</v>
      </c>
      <c r="E4" s="8">
        <f t="shared" si="0"/>
        <v>4.7637473367994545</v>
      </c>
      <c r="F4">
        <v>15</v>
      </c>
      <c r="G4">
        <v>6</v>
      </c>
      <c r="H4">
        <v>25.36</v>
      </c>
      <c r="I4" s="3">
        <v>30.34</v>
      </c>
      <c r="J4">
        <v>16.760000000000002</v>
      </c>
      <c r="K4" s="3">
        <v>20.14</v>
      </c>
      <c r="L4" s="3">
        <v>75.3</v>
      </c>
      <c r="M4">
        <v>65.099999999999994</v>
      </c>
    </row>
    <row r="5" spans="1:16">
      <c r="A5" t="s">
        <v>48</v>
      </c>
      <c r="B5" t="s">
        <v>49</v>
      </c>
      <c r="C5" t="s">
        <v>44</v>
      </c>
      <c r="D5" s="4">
        <v>-18</v>
      </c>
      <c r="E5" s="8">
        <f t="shared" si="0"/>
        <v>-8.793899120481889</v>
      </c>
      <c r="F5">
        <v>29</v>
      </c>
      <c r="G5">
        <v>15</v>
      </c>
      <c r="H5">
        <v>24.66</v>
      </c>
      <c r="I5" s="3">
        <v>25.36</v>
      </c>
      <c r="J5">
        <v>8.48</v>
      </c>
      <c r="K5" s="3">
        <v>16.760000000000002</v>
      </c>
      <c r="L5" s="3">
        <v>65.099999999999994</v>
      </c>
      <c r="M5">
        <v>70.2</v>
      </c>
    </row>
    <row r="6" spans="1:16">
      <c r="A6" t="s">
        <v>43</v>
      </c>
      <c r="B6" t="s">
        <v>44</v>
      </c>
      <c r="C6" t="s">
        <v>50</v>
      </c>
      <c r="D6" s="4">
        <v>35</v>
      </c>
      <c r="E6" s="8">
        <f t="shared" si="0"/>
        <v>30.984991928570324</v>
      </c>
      <c r="F6">
        <v>15</v>
      </c>
      <c r="G6">
        <v>189</v>
      </c>
      <c r="H6">
        <v>25.36</v>
      </c>
      <c r="I6" s="3">
        <v>-0.3</v>
      </c>
      <c r="J6">
        <v>16.760000000000002</v>
      </c>
      <c r="K6" s="3">
        <v>-4.1100000000000003</v>
      </c>
      <c r="L6" s="3">
        <v>68.900000000000006</v>
      </c>
      <c r="M6">
        <v>65.099999999999994</v>
      </c>
    </row>
    <row r="7" spans="1:16">
      <c r="A7" t="s">
        <v>51</v>
      </c>
      <c r="B7" t="s">
        <v>52</v>
      </c>
      <c r="C7" t="s">
        <v>44</v>
      </c>
      <c r="D7" s="4">
        <v>-10</v>
      </c>
      <c r="E7" s="8">
        <f t="shared" si="0"/>
        <v>0.82316785441584273</v>
      </c>
      <c r="F7">
        <v>38</v>
      </c>
      <c r="G7">
        <v>15</v>
      </c>
      <c r="H7">
        <v>15.53</v>
      </c>
      <c r="I7" s="3">
        <v>25.36</v>
      </c>
      <c r="J7">
        <v>13.15</v>
      </c>
      <c r="K7" s="3">
        <v>16.760000000000002</v>
      </c>
      <c r="L7" s="3">
        <v>65.099999999999994</v>
      </c>
      <c r="M7">
        <v>68.3</v>
      </c>
    </row>
    <row r="8" spans="1:16">
      <c r="A8" t="s">
        <v>51</v>
      </c>
      <c r="B8" t="s">
        <v>53</v>
      </c>
      <c r="C8" t="s">
        <v>44</v>
      </c>
      <c r="D8" s="4">
        <v>-2</v>
      </c>
      <c r="E8" s="8">
        <f t="shared" si="0"/>
        <v>-1.7828130094885211</v>
      </c>
      <c r="F8">
        <v>22</v>
      </c>
      <c r="G8">
        <v>15</v>
      </c>
      <c r="H8">
        <v>23.34</v>
      </c>
      <c r="I8" s="3">
        <v>25.36</v>
      </c>
      <c r="J8">
        <v>16.98</v>
      </c>
      <c r="K8" s="3">
        <v>16.760000000000002</v>
      </c>
      <c r="L8" s="3">
        <v>65.099999999999994</v>
      </c>
      <c r="M8">
        <v>68.099999999999994</v>
      </c>
    </row>
    <row r="9" spans="1:16">
      <c r="A9" t="s">
        <v>54</v>
      </c>
      <c r="B9" t="s">
        <v>55</v>
      </c>
      <c r="C9" t="s">
        <v>44</v>
      </c>
      <c r="D9" s="4">
        <v>-11</v>
      </c>
      <c r="E9" s="8">
        <f t="shared" si="0"/>
        <v>-2.9679690492674098</v>
      </c>
      <c r="F9">
        <v>58</v>
      </c>
      <c r="G9">
        <v>15</v>
      </c>
      <c r="H9">
        <v>15.42</v>
      </c>
      <c r="I9" s="3">
        <v>25.36</v>
      </c>
      <c r="J9">
        <v>13.68</v>
      </c>
      <c r="K9" s="3">
        <v>16.760000000000002</v>
      </c>
      <c r="L9" s="3">
        <v>65.099999999999994</v>
      </c>
      <c r="M9">
        <v>65.599999999999994</v>
      </c>
      <c r="P9" s="3" t="s">
        <v>16</v>
      </c>
    </row>
    <row r="10" spans="1:16">
      <c r="A10" t="s">
        <v>43</v>
      </c>
      <c r="B10" t="s">
        <v>44</v>
      </c>
      <c r="C10" t="s">
        <v>56</v>
      </c>
      <c r="D10" s="4">
        <v>5</v>
      </c>
      <c r="E10" s="8">
        <f t="shared" si="0"/>
        <v>2.4615366154145022</v>
      </c>
      <c r="F10">
        <v>15</v>
      </c>
      <c r="G10">
        <v>10</v>
      </c>
      <c r="H10">
        <v>25.36</v>
      </c>
      <c r="I10" s="3">
        <v>27.07</v>
      </c>
      <c r="J10">
        <v>16.760000000000002</v>
      </c>
      <c r="K10" s="3">
        <v>12.51</v>
      </c>
      <c r="L10" s="3">
        <v>69.599999999999994</v>
      </c>
      <c r="M10">
        <v>65.099999999999994</v>
      </c>
      <c r="O10" t="s">
        <v>23</v>
      </c>
      <c r="P10" s="3">
        <v>39.669418178716668</v>
      </c>
    </row>
    <row r="11" spans="1:16">
      <c r="A11" t="s">
        <v>57</v>
      </c>
      <c r="B11" t="s">
        <v>58</v>
      </c>
      <c r="C11" t="s">
        <v>44</v>
      </c>
      <c r="D11" s="4">
        <v>-4</v>
      </c>
      <c r="E11" s="8">
        <f t="shared" si="0"/>
        <v>-1.3870410111323395E-2</v>
      </c>
      <c r="F11">
        <v>18</v>
      </c>
      <c r="G11">
        <v>15</v>
      </c>
      <c r="H11">
        <v>23.66</v>
      </c>
      <c r="I11" s="3">
        <v>25.36</v>
      </c>
      <c r="J11">
        <v>16.52</v>
      </c>
      <c r="K11" s="3">
        <v>16.760000000000002</v>
      </c>
      <c r="L11" s="3">
        <v>65.099999999999994</v>
      </c>
      <c r="M11">
        <v>66.8</v>
      </c>
      <c r="O11" t="s">
        <v>24</v>
      </c>
      <c r="P11" s="3">
        <v>-0.3047127609357167</v>
      </c>
    </row>
    <row r="12" spans="1:16">
      <c r="A12" t="s">
        <v>59</v>
      </c>
      <c r="B12" t="s">
        <v>60</v>
      </c>
      <c r="C12" t="s">
        <v>61</v>
      </c>
      <c r="D12" s="4">
        <v>-18</v>
      </c>
      <c r="E12" s="8">
        <f t="shared" si="0"/>
        <v>-8.4905558778490473</v>
      </c>
      <c r="F12">
        <v>4</v>
      </c>
      <c r="G12">
        <v>15</v>
      </c>
      <c r="H12">
        <v>35.049999999999997</v>
      </c>
      <c r="I12" s="3">
        <v>25.36</v>
      </c>
      <c r="J12">
        <v>19.63</v>
      </c>
      <c r="K12" s="3">
        <v>16.760000000000002</v>
      </c>
      <c r="L12" s="3">
        <v>65.099999999999994</v>
      </c>
      <c r="M12">
        <v>68.2</v>
      </c>
      <c r="O12" t="s">
        <v>25</v>
      </c>
      <c r="P12" s="3">
        <v>0.14662185498795594</v>
      </c>
    </row>
    <row r="13" spans="1:16">
      <c r="A13" t="s">
        <v>43</v>
      </c>
      <c r="B13" t="s">
        <v>44</v>
      </c>
      <c r="C13" t="s">
        <v>62</v>
      </c>
      <c r="D13" s="4">
        <v>19</v>
      </c>
      <c r="E13" s="8">
        <f>$P$10+(F13*$P$11)+($P$12*G13)+($P$13*H13)+($P$14*I13)+($P$15*J13)+($P$16*K13)+($P$17*L13)+($P$18*M13)</f>
        <v>26.185702338563758</v>
      </c>
      <c r="F13">
        <v>15</v>
      </c>
      <c r="G13">
        <v>157</v>
      </c>
      <c r="H13">
        <v>25.36</v>
      </c>
      <c r="I13" s="3">
        <v>-0.47</v>
      </c>
      <c r="J13">
        <v>16.760000000000002</v>
      </c>
      <c r="K13" s="3">
        <v>-2.72</v>
      </c>
      <c r="L13" s="3">
        <v>68.8</v>
      </c>
      <c r="M13">
        <v>65.099999999999994</v>
      </c>
      <c r="O13" t="s">
        <v>26</v>
      </c>
      <c r="P13" s="3">
        <v>-1.0836074009086587</v>
      </c>
    </row>
    <row r="14" spans="1:16">
      <c r="A14" t="s">
        <v>63</v>
      </c>
      <c r="B14" t="s">
        <v>64</v>
      </c>
      <c r="C14" t="s">
        <v>44</v>
      </c>
      <c r="D14" s="4">
        <v>-20</v>
      </c>
      <c r="E14" s="8">
        <f t="shared" ref="E14:E27" si="1">$P$10+(F14*$P$11)+($P$12*G14)+($P$13*H14)+($P$14*I14)+($P$15*J14)+($P$16*K14)+($P$17*L14)+($P$18*M14)</f>
        <v>-11.615410867434143</v>
      </c>
      <c r="F14">
        <v>83</v>
      </c>
      <c r="G14">
        <v>15</v>
      </c>
      <c r="H14">
        <v>15.26</v>
      </c>
      <c r="I14" s="3">
        <v>25.36</v>
      </c>
      <c r="J14">
        <v>12.37</v>
      </c>
      <c r="K14" s="3">
        <v>16.760000000000002</v>
      </c>
      <c r="L14" s="3">
        <v>65.099999999999994</v>
      </c>
      <c r="M14">
        <v>66.8</v>
      </c>
      <c r="O14" t="s">
        <v>27</v>
      </c>
      <c r="P14" s="3">
        <v>-7.2855335176414515E-2</v>
      </c>
    </row>
    <row r="15" spans="1:16">
      <c r="A15" t="s">
        <v>43</v>
      </c>
      <c r="B15" t="s">
        <v>44</v>
      </c>
      <c r="C15" t="s">
        <v>65</v>
      </c>
      <c r="D15" s="4">
        <v>18</v>
      </c>
      <c r="E15" s="8">
        <f t="shared" si="1"/>
        <v>5.4903358355604297</v>
      </c>
      <c r="F15">
        <v>15</v>
      </c>
      <c r="G15">
        <v>44</v>
      </c>
      <c r="H15">
        <v>25.36</v>
      </c>
      <c r="I15" s="3">
        <v>17.02</v>
      </c>
      <c r="J15">
        <v>16.760000000000002</v>
      </c>
      <c r="K15" s="3">
        <v>13.07</v>
      </c>
      <c r="L15" s="3">
        <v>65.2</v>
      </c>
      <c r="M15">
        <v>65.099999999999994</v>
      </c>
      <c r="O15" t="s">
        <v>28</v>
      </c>
      <c r="P15" s="3">
        <v>0.21626823232143658</v>
      </c>
    </row>
    <row r="16" spans="1:16">
      <c r="A16" t="s">
        <v>66</v>
      </c>
      <c r="B16" t="s">
        <v>67</v>
      </c>
      <c r="C16" t="s">
        <v>44</v>
      </c>
      <c r="D16" s="4">
        <v>-18</v>
      </c>
      <c r="E16" s="8">
        <f t="shared" si="1"/>
        <v>-6.5656980096863222</v>
      </c>
      <c r="F16">
        <v>70</v>
      </c>
      <c r="G16">
        <v>15</v>
      </c>
      <c r="H16">
        <v>14.75</v>
      </c>
      <c r="I16" s="3">
        <v>25.36</v>
      </c>
      <c r="J16">
        <v>13.43</v>
      </c>
      <c r="K16" s="3">
        <v>16.760000000000002</v>
      </c>
      <c r="L16" s="3">
        <v>65.099999999999994</v>
      </c>
      <c r="M16">
        <v>66.400000000000006</v>
      </c>
      <c r="O16" t="s">
        <v>29</v>
      </c>
      <c r="P16" s="3">
        <v>-4.260046330690246E-2</v>
      </c>
    </row>
    <row r="17" spans="1:16">
      <c r="A17" t="s">
        <v>43</v>
      </c>
      <c r="B17" t="s">
        <v>44</v>
      </c>
      <c r="C17" t="s">
        <v>68</v>
      </c>
      <c r="D17" s="4">
        <v>36</v>
      </c>
      <c r="E17" s="8">
        <f t="shared" si="1"/>
        <v>7.3721557071624559</v>
      </c>
      <c r="F17">
        <v>15</v>
      </c>
      <c r="G17">
        <v>46</v>
      </c>
      <c r="H17">
        <v>25.36</v>
      </c>
      <c r="I17" s="3">
        <v>16.98</v>
      </c>
      <c r="J17">
        <v>16.760000000000002</v>
      </c>
      <c r="K17" s="3">
        <v>12.81</v>
      </c>
      <c r="L17" s="3">
        <v>67.8</v>
      </c>
      <c r="M17">
        <v>65.099999999999994</v>
      </c>
      <c r="O17" t="s">
        <v>30</v>
      </c>
      <c r="P17" s="3">
        <v>0.60560993375356453</v>
      </c>
    </row>
    <row r="18" spans="1:16" ht="15" thickBot="1">
      <c r="A18" t="s">
        <v>69</v>
      </c>
      <c r="B18" t="s">
        <v>70</v>
      </c>
      <c r="C18" t="s">
        <v>44</v>
      </c>
      <c r="D18" s="4">
        <v>-11</v>
      </c>
      <c r="E18" s="8">
        <f t="shared" si="1"/>
        <v>-18.889181827076342</v>
      </c>
      <c r="F18">
        <v>104</v>
      </c>
      <c r="G18">
        <v>15</v>
      </c>
      <c r="H18">
        <v>13.88</v>
      </c>
      <c r="I18" s="3">
        <v>25.36</v>
      </c>
      <c r="J18">
        <v>10.27</v>
      </c>
      <c r="K18" s="3">
        <v>16.760000000000002</v>
      </c>
      <c r="L18" s="3">
        <v>65.099999999999994</v>
      </c>
      <c r="M18">
        <v>69.3</v>
      </c>
      <c r="O18" s="1" t="s">
        <v>31</v>
      </c>
      <c r="P18" s="1">
        <v>-0.76640716214843108</v>
      </c>
    </row>
    <row r="19" spans="1:16">
      <c r="A19" t="s">
        <v>71</v>
      </c>
      <c r="B19" t="s">
        <v>72</v>
      </c>
      <c r="C19" t="s">
        <v>44</v>
      </c>
      <c r="D19" s="4">
        <v>-7</v>
      </c>
      <c r="E19" s="8">
        <f t="shared" si="1"/>
        <v>0.25554461461271671</v>
      </c>
      <c r="F19">
        <v>27</v>
      </c>
      <c r="G19">
        <v>15</v>
      </c>
      <c r="H19">
        <v>19.53</v>
      </c>
      <c r="I19" s="3">
        <v>25.36</v>
      </c>
      <c r="J19">
        <v>14.36</v>
      </c>
      <c r="K19" s="3">
        <v>16.760000000000002</v>
      </c>
      <c r="L19" s="3">
        <v>65.099999999999994</v>
      </c>
      <c r="M19">
        <v>68.099999999999994</v>
      </c>
    </row>
    <row r="20" spans="1:16">
      <c r="A20" t="s">
        <v>43</v>
      </c>
      <c r="B20" t="s">
        <v>44</v>
      </c>
      <c r="C20" t="s">
        <v>73</v>
      </c>
      <c r="D20" s="4">
        <v>-3</v>
      </c>
      <c r="E20" s="8">
        <f t="shared" si="1"/>
        <v>5.4945167295870334</v>
      </c>
      <c r="F20">
        <v>15</v>
      </c>
      <c r="G20">
        <v>37</v>
      </c>
      <c r="H20">
        <v>25.36</v>
      </c>
      <c r="I20" s="3">
        <v>19.079999999999998</v>
      </c>
      <c r="J20">
        <v>16.760000000000002</v>
      </c>
      <c r="K20" s="3">
        <v>15.21</v>
      </c>
      <c r="L20" s="3">
        <v>67.3</v>
      </c>
      <c r="M20">
        <v>65.099999999999994</v>
      </c>
    </row>
    <row r="21" spans="1:16">
      <c r="A21" t="s">
        <v>43</v>
      </c>
      <c r="B21" t="s">
        <v>44</v>
      </c>
      <c r="C21" t="s">
        <v>74</v>
      </c>
      <c r="D21" s="4">
        <v>27</v>
      </c>
      <c r="E21" s="8">
        <f t="shared" si="1"/>
        <v>4.467960419471396</v>
      </c>
      <c r="F21">
        <v>15</v>
      </c>
      <c r="G21">
        <v>21</v>
      </c>
      <c r="H21">
        <v>25.36</v>
      </c>
      <c r="I21" s="3">
        <v>23.45</v>
      </c>
      <c r="J21">
        <v>16.760000000000002</v>
      </c>
      <c r="K21" s="3">
        <v>16.57</v>
      </c>
      <c r="L21" s="3">
        <v>70.099999999999994</v>
      </c>
      <c r="M21">
        <v>65.099999999999994</v>
      </c>
    </row>
    <row r="22" spans="1:16">
      <c r="A22" t="s">
        <v>43</v>
      </c>
      <c r="B22" t="s">
        <v>44</v>
      </c>
      <c r="C22" t="s">
        <v>75</v>
      </c>
      <c r="D22" s="4">
        <v>5</v>
      </c>
      <c r="E22" s="8">
        <f t="shared" si="1"/>
        <v>7.4115452141108165</v>
      </c>
      <c r="F22">
        <v>15</v>
      </c>
      <c r="G22">
        <v>45</v>
      </c>
      <c r="H22">
        <v>25.36</v>
      </c>
      <c r="I22" s="3">
        <v>16.98</v>
      </c>
      <c r="J22">
        <v>16.760000000000002</v>
      </c>
      <c r="K22" s="3">
        <v>14.13</v>
      </c>
      <c r="L22" s="3">
        <v>68.2</v>
      </c>
      <c r="M22">
        <v>65.099999999999994</v>
      </c>
    </row>
    <row r="23" spans="1:16">
      <c r="A23" t="s">
        <v>76</v>
      </c>
      <c r="B23" t="s">
        <v>77</v>
      </c>
      <c r="C23" t="s">
        <v>44</v>
      </c>
      <c r="D23" s="4">
        <v>-9</v>
      </c>
      <c r="E23" s="8">
        <f t="shared" si="1"/>
        <v>-7.3109535895048552</v>
      </c>
      <c r="F23">
        <v>62</v>
      </c>
      <c r="G23">
        <v>15</v>
      </c>
      <c r="H23">
        <v>15.65</v>
      </c>
      <c r="I23" s="3">
        <v>25.36</v>
      </c>
      <c r="J23">
        <v>12.79</v>
      </c>
      <c r="K23" s="3">
        <v>16.760000000000002</v>
      </c>
      <c r="L23" s="3">
        <v>65.099999999999994</v>
      </c>
      <c r="M23">
        <v>69.099999999999994</v>
      </c>
    </row>
    <row r="24" spans="1:16">
      <c r="A24" t="s">
        <v>43</v>
      </c>
      <c r="B24" t="s">
        <v>44</v>
      </c>
      <c r="C24" t="s">
        <v>78</v>
      </c>
      <c r="D24" s="4">
        <v>18</v>
      </c>
      <c r="E24" s="8">
        <f t="shared" si="1"/>
        <v>9.6641434420026968</v>
      </c>
      <c r="F24">
        <v>15</v>
      </c>
      <c r="G24">
        <v>57</v>
      </c>
      <c r="H24">
        <v>25.36</v>
      </c>
      <c r="I24" s="3">
        <v>14.39</v>
      </c>
      <c r="J24">
        <v>16.760000000000002</v>
      </c>
      <c r="K24" s="3">
        <v>12.67</v>
      </c>
      <c r="L24" s="3">
        <v>68.599999999999994</v>
      </c>
      <c r="M24">
        <v>65.099999999999994</v>
      </c>
    </row>
    <row r="25" spans="1:16">
      <c r="A25" t="s">
        <v>79</v>
      </c>
      <c r="B25" t="s">
        <v>74</v>
      </c>
      <c r="C25" t="s">
        <v>44</v>
      </c>
      <c r="D25" s="4">
        <v>-2</v>
      </c>
      <c r="E25" s="8">
        <f t="shared" si="1"/>
        <v>-3.2187813622014119</v>
      </c>
      <c r="F25">
        <v>21</v>
      </c>
      <c r="G25">
        <v>15</v>
      </c>
      <c r="H25">
        <v>23.45</v>
      </c>
      <c r="I25" s="3">
        <v>25.36</v>
      </c>
      <c r="J25">
        <v>16.57</v>
      </c>
      <c r="K25" s="3">
        <v>16.760000000000002</v>
      </c>
      <c r="L25" s="3">
        <v>65.099999999999994</v>
      </c>
      <c r="M25">
        <v>70.099999999999994</v>
      </c>
    </row>
    <row r="26" spans="1:16">
      <c r="A26" t="s">
        <v>43</v>
      </c>
      <c r="B26" t="s">
        <v>44</v>
      </c>
      <c r="C26" t="s">
        <v>80</v>
      </c>
      <c r="D26" s="4">
        <v>-10</v>
      </c>
      <c r="E26" s="8">
        <f t="shared" si="1"/>
        <v>1.7361791630929773</v>
      </c>
      <c r="F26">
        <v>15</v>
      </c>
      <c r="G26">
        <v>12</v>
      </c>
      <c r="H26">
        <v>25.36</v>
      </c>
      <c r="I26" s="3">
        <v>26.57</v>
      </c>
      <c r="J26">
        <v>16.760000000000002</v>
      </c>
      <c r="K26" s="3">
        <v>14.53</v>
      </c>
      <c r="L26" s="3">
        <v>68</v>
      </c>
      <c r="M26">
        <v>65.099999999999994</v>
      </c>
    </row>
    <row r="27" spans="1:16">
      <c r="A27" t="s">
        <v>81</v>
      </c>
      <c r="B27" t="s">
        <v>82</v>
      </c>
      <c r="C27" t="s">
        <v>44</v>
      </c>
      <c r="D27" s="4">
        <v>-9</v>
      </c>
      <c r="E27" s="8">
        <f t="shared" si="1"/>
        <v>-2.8107855438806695</v>
      </c>
      <c r="F27">
        <v>7</v>
      </c>
      <c r="G27">
        <v>15</v>
      </c>
      <c r="H27">
        <v>28.48</v>
      </c>
      <c r="I27" s="3">
        <v>25.36</v>
      </c>
      <c r="J27">
        <v>14.72</v>
      </c>
      <c r="K27" s="3">
        <v>16.760000000000002</v>
      </c>
      <c r="L27" s="3">
        <v>65.099999999999994</v>
      </c>
      <c r="M27">
        <v>67.5</v>
      </c>
    </row>
    <row r="28" spans="1:16">
      <c r="A28" t="s">
        <v>83</v>
      </c>
      <c r="B28" t="s">
        <v>75</v>
      </c>
      <c r="C28" t="s">
        <v>44</v>
      </c>
      <c r="D28" s="4">
        <v>-15</v>
      </c>
      <c r="E28" s="8">
        <f>$P$10+(F28*$P$11)+($P$12*G28)+($P$13*H28)+($P$14*I28)+($P$15*J28)+($P$16*K28)+($P$17*L28)+($P$18*M28)</f>
        <v>-5.9139576915614782</v>
      </c>
      <c r="F28">
        <v>45</v>
      </c>
      <c r="G28">
        <v>15</v>
      </c>
      <c r="H28">
        <v>19.489999999999998</v>
      </c>
      <c r="I28" s="3">
        <v>25.36</v>
      </c>
      <c r="J28">
        <v>13.12</v>
      </c>
      <c r="K28" s="3">
        <v>16.760000000000002</v>
      </c>
      <c r="L28" s="3">
        <v>65.099999999999994</v>
      </c>
      <c r="M28">
        <v>68.7</v>
      </c>
    </row>
    <row r="29" spans="1:16">
      <c r="A29" t="s">
        <v>43</v>
      </c>
      <c r="B29" t="s">
        <v>44</v>
      </c>
      <c r="C29" t="s">
        <v>84</v>
      </c>
      <c r="D29" s="4">
        <v>10</v>
      </c>
      <c r="E29" s="8">
        <f t="shared" ref="E29:E43" si="2">$P$10+(F29*$P$11)+($P$12*G29)+($P$13*H29)+($P$14*I29)+($P$15*J29)+($P$16*K29)+($P$17*L29)+($P$18*M29)</f>
        <v>1.3376484979896262</v>
      </c>
      <c r="F29">
        <v>15</v>
      </c>
      <c r="G29">
        <v>20</v>
      </c>
      <c r="H29">
        <v>25.36</v>
      </c>
      <c r="I29" s="3">
        <v>23.46</v>
      </c>
      <c r="J29">
        <v>16.760000000000002</v>
      </c>
      <c r="K29" s="3">
        <v>14.09</v>
      </c>
      <c r="L29" s="3">
        <v>65</v>
      </c>
      <c r="M29">
        <v>65.099999999999994</v>
      </c>
    </row>
    <row r="30" spans="1:16">
      <c r="A30" t="s">
        <v>43</v>
      </c>
      <c r="B30" t="s">
        <v>44</v>
      </c>
      <c r="C30" t="s">
        <v>67</v>
      </c>
      <c r="D30" s="4">
        <v>29</v>
      </c>
      <c r="E30" s="8">
        <f t="shared" si="2"/>
        <v>11.902821807002375</v>
      </c>
      <c r="F30">
        <v>15</v>
      </c>
      <c r="G30">
        <v>70</v>
      </c>
      <c r="H30">
        <v>25.36</v>
      </c>
      <c r="I30" s="3">
        <v>11.5</v>
      </c>
      <c r="J30">
        <v>16.760000000000002</v>
      </c>
      <c r="K30" s="3">
        <v>14.07</v>
      </c>
      <c r="L30" s="3">
        <v>68.900000000000006</v>
      </c>
      <c r="M30">
        <v>65.099999999999994</v>
      </c>
    </row>
    <row r="31" spans="1:16">
      <c r="A31" t="s">
        <v>85</v>
      </c>
      <c r="B31" t="s">
        <v>86</v>
      </c>
      <c r="C31" t="s">
        <v>44</v>
      </c>
      <c r="D31" s="4">
        <v>-8</v>
      </c>
      <c r="E31" s="8">
        <f t="shared" si="2"/>
        <v>-3.8923658918336699</v>
      </c>
      <c r="F31">
        <v>17</v>
      </c>
      <c r="G31">
        <v>15</v>
      </c>
      <c r="H31">
        <v>24.32</v>
      </c>
      <c r="I31" s="3">
        <v>25.36</v>
      </c>
      <c r="J31">
        <v>17.14</v>
      </c>
      <c r="K31" s="3">
        <v>16.760000000000002</v>
      </c>
      <c r="L31" s="3">
        <v>65.099999999999994</v>
      </c>
      <c r="M31">
        <v>71.5</v>
      </c>
    </row>
    <row r="32" spans="1:16">
      <c r="A32" t="s">
        <v>89</v>
      </c>
      <c r="B32" t="s">
        <v>44</v>
      </c>
      <c r="C32" t="s">
        <v>90</v>
      </c>
      <c r="D32" s="4">
        <v>10</v>
      </c>
      <c r="E32" s="8">
        <f t="shared" si="2"/>
        <v>17.623761590272366</v>
      </c>
      <c r="F32">
        <v>2</v>
      </c>
      <c r="G32">
        <v>144</v>
      </c>
      <c r="H32">
        <v>32.71</v>
      </c>
      <c r="I32" s="3">
        <v>1.81</v>
      </c>
      <c r="J32">
        <v>5.9</v>
      </c>
      <c r="K32" s="3">
        <v>13.8</v>
      </c>
      <c r="L32" s="3">
        <v>71</v>
      </c>
      <c r="M32">
        <v>66.099999999999994</v>
      </c>
    </row>
    <row r="33" spans="1:16" hidden="1">
      <c r="A33" s="6" t="s">
        <v>89</v>
      </c>
      <c r="B33" s="6" t="s">
        <v>44</v>
      </c>
      <c r="C33" s="6" t="s">
        <v>90</v>
      </c>
      <c r="D33" s="5">
        <v>10</v>
      </c>
      <c r="E33" s="8">
        <f t="shared" si="2"/>
        <v>17.623761590272366</v>
      </c>
      <c r="F33" s="6">
        <v>2</v>
      </c>
      <c r="G33">
        <v>144</v>
      </c>
      <c r="H33" s="6">
        <v>32.71</v>
      </c>
      <c r="I33" s="7">
        <v>1.81</v>
      </c>
      <c r="J33" s="6">
        <v>5.9</v>
      </c>
      <c r="K33" s="7">
        <v>13.8</v>
      </c>
      <c r="L33" s="7">
        <v>71</v>
      </c>
      <c r="M33" s="6">
        <v>66.099999999999994</v>
      </c>
    </row>
    <row r="34" spans="1:16">
      <c r="A34" t="s">
        <v>91</v>
      </c>
      <c r="B34" t="s">
        <v>47</v>
      </c>
      <c r="C34" t="s">
        <v>44</v>
      </c>
      <c r="D34" s="4">
        <v>-7</v>
      </c>
      <c r="E34" s="8">
        <f t="shared" si="2"/>
        <v>-7.9782331524267249</v>
      </c>
      <c r="F34">
        <v>12</v>
      </c>
      <c r="G34">
        <v>2</v>
      </c>
      <c r="H34">
        <v>26.56</v>
      </c>
      <c r="I34" s="3">
        <v>32.71</v>
      </c>
      <c r="J34">
        <v>17.989999999999998</v>
      </c>
      <c r="K34" s="3">
        <v>5.9</v>
      </c>
      <c r="L34" s="3">
        <v>66.099999999999994</v>
      </c>
      <c r="M34">
        <v>74.099999999999994</v>
      </c>
    </row>
    <row r="35" spans="1:16" s="6" customFormat="1" hidden="1">
      <c r="A35" s="6" t="s">
        <v>91</v>
      </c>
      <c r="B35" s="6" t="s">
        <v>47</v>
      </c>
      <c r="C35" s="6" t="s">
        <v>44</v>
      </c>
      <c r="D35" s="5">
        <v>-7</v>
      </c>
      <c r="E35" s="8">
        <f t="shared" si="2"/>
        <v>-7.9782331524267249</v>
      </c>
      <c r="F35" s="6">
        <v>12</v>
      </c>
      <c r="G35">
        <v>2</v>
      </c>
      <c r="H35" s="6">
        <v>26.56</v>
      </c>
      <c r="I35" s="7">
        <v>32.71</v>
      </c>
      <c r="J35" s="6">
        <v>17.989999999999998</v>
      </c>
      <c r="K35" s="7">
        <v>5.9</v>
      </c>
      <c r="L35" s="7">
        <v>66.099999999999994</v>
      </c>
      <c r="M35" s="6">
        <v>74.099999999999994</v>
      </c>
      <c r="O35" s="6" t="s">
        <v>31</v>
      </c>
      <c r="P35" s="7">
        <v>-0.76640716214843108</v>
      </c>
    </row>
    <row r="36" spans="1:16">
      <c r="A36" t="s">
        <v>89</v>
      </c>
      <c r="B36" t="s">
        <v>44</v>
      </c>
      <c r="C36" t="s">
        <v>92</v>
      </c>
      <c r="D36" s="4">
        <v>18</v>
      </c>
      <c r="E36" s="8">
        <f t="shared" si="2"/>
        <v>5.1509762087824527</v>
      </c>
      <c r="F36">
        <v>2</v>
      </c>
      <c r="G36">
        <v>57</v>
      </c>
      <c r="H36">
        <v>32.71</v>
      </c>
      <c r="I36" s="3">
        <v>14.23</v>
      </c>
      <c r="J36">
        <v>5.9</v>
      </c>
      <c r="K36" s="3">
        <v>-4.1399999999999997</v>
      </c>
      <c r="L36" s="3">
        <v>71.7</v>
      </c>
      <c r="M36">
        <v>66.099999999999994</v>
      </c>
    </row>
    <row r="37" spans="1:16" s="6" customFormat="1" hidden="1">
      <c r="A37" s="6" t="s">
        <v>89</v>
      </c>
      <c r="B37" s="6" t="s">
        <v>44</v>
      </c>
      <c r="C37" s="6" t="s">
        <v>92</v>
      </c>
      <c r="D37" s="5">
        <v>18</v>
      </c>
      <c r="E37" s="8">
        <f t="shared" si="2"/>
        <v>5.1509762087824527</v>
      </c>
      <c r="F37" s="6">
        <v>2</v>
      </c>
      <c r="G37">
        <v>57</v>
      </c>
      <c r="H37" s="6">
        <v>32.71</v>
      </c>
      <c r="I37" s="7">
        <v>14.23</v>
      </c>
      <c r="J37" s="6">
        <v>5.9</v>
      </c>
      <c r="K37" s="7">
        <v>-4.1399999999999997</v>
      </c>
      <c r="L37" s="7">
        <v>71.7</v>
      </c>
      <c r="M37" s="6">
        <v>66.099999999999994</v>
      </c>
      <c r="P37" s="7"/>
    </row>
    <row r="38" spans="1:16">
      <c r="A38" t="s">
        <v>93</v>
      </c>
      <c r="B38" t="s">
        <v>94</v>
      </c>
      <c r="C38" t="s">
        <v>44</v>
      </c>
      <c r="D38" s="4">
        <v>-9</v>
      </c>
      <c r="E38" s="8">
        <f t="shared" si="2"/>
        <v>-9.7903485156559924</v>
      </c>
      <c r="F38">
        <v>73</v>
      </c>
      <c r="G38">
        <v>2</v>
      </c>
      <c r="H38">
        <v>11.91</v>
      </c>
      <c r="I38" s="3">
        <v>32.71</v>
      </c>
      <c r="J38">
        <v>7.27</v>
      </c>
      <c r="K38" s="3">
        <v>5.9</v>
      </c>
      <c r="L38" s="3">
        <v>66.099999999999994</v>
      </c>
      <c r="M38">
        <v>69.900000000000006</v>
      </c>
    </row>
    <row r="39" spans="1:16" s="6" customFormat="1" hidden="1">
      <c r="A39" s="6" t="s">
        <v>93</v>
      </c>
      <c r="B39" s="6" t="s">
        <v>94</v>
      </c>
      <c r="C39" s="6" t="s">
        <v>44</v>
      </c>
      <c r="D39" s="5">
        <v>-9</v>
      </c>
      <c r="E39" s="8">
        <f t="shared" si="2"/>
        <v>-9.7903485156559924</v>
      </c>
      <c r="F39" s="6">
        <v>73</v>
      </c>
      <c r="G39">
        <v>2</v>
      </c>
      <c r="H39" s="6">
        <v>11.91</v>
      </c>
      <c r="I39" s="7">
        <v>32.71</v>
      </c>
      <c r="J39" s="6">
        <v>7.27</v>
      </c>
      <c r="K39" s="7">
        <v>5.9</v>
      </c>
      <c r="L39" s="7">
        <v>66.099999999999994</v>
      </c>
      <c r="M39" s="6">
        <v>69.900000000000006</v>
      </c>
      <c r="P39" s="7"/>
    </row>
    <row r="40" spans="1:16">
      <c r="A40" t="s">
        <v>93</v>
      </c>
      <c r="B40" t="s">
        <v>95</v>
      </c>
      <c r="C40" t="s">
        <v>44</v>
      </c>
      <c r="D40" s="4">
        <v>-30</v>
      </c>
      <c r="E40" s="8">
        <f t="shared" si="2"/>
        <v>-3.9918211282008969</v>
      </c>
      <c r="F40">
        <v>30</v>
      </c>
      <c r="G40">
        <v>2</v>
      </c>
      <c r="H40">
        <v>19.82</v>
      </c>
      <c r="I40" s="3">
        <v>32.71</v>
      </c>
      <c r="J40">
        <v>4.2699999999999996</v>
      </c>
      <c r="K40" s="3">
        <v>5.9</v>
      </c>
      <c r="L40" s="3">
        <v>66.099999999999994</v>
      </c>
      <c r="M40">
        <v>67.400000000000006</v>
      </c>
    </row>
    <row r="41" spans="1:16" s="6" customFormat="1" hidden="1">
      <c r="A41" s="6" t="s">
        <v>93</v>
      </c>
      <c r="B41" s="6" t="s">
        <v>95</v>
      </c>
      <c r="C41" s="6" t="s">
        <v>44</v>
      </c>
      <c r="D41" s="5">
        <v>-30</v>
      </c>
      <c r="E41" s="8">
        <f t="shared" si="2"/>
        <v>-3.9918211282008969</v>
      </c>
      <c r="F41" s="6">
        <v>30</v>
      </c>
      <c r="G41">
        <v>2</v>
      </c>
      <c r="H41" s="6">
        <v>19.82</v>
      </c>
      <c r="I41" s="7">
        <v>32.71</v>
      </c>
      <c r="J41" s="6">
        <v>4.2699999999999996</v>
      </c>
      <c r="K41" s="7">
        <v>5.9</v>
      </c>
      <c r="L41" s="7">
        <v>66.099999999999994</v>
      </c>
      <c r="M41" s="6">
        <v>67.400000000000006</v>
      </c>
      <c r="P41" s="7"/>
    </row>
    <row r="42" spans="1:16">
      <c r="A42" t="s">
        <v>97</v>
      </c>
      <c r="B42" t="s">
        <v>67</v>
      </c>
      <c r="C42" t="s">
        <v>44</v>
      </c>
      <c r="D42" s="4">
        <v>-16</v>
      </c>
      <c r="E42" s="8">
        <f t="shared" si="2"/>
        <v>-16.351652110517414</v>
      </c>
      <c r="F42">
        <v>125</v>
      </c>
      <c r="G42">
        <v>2</v>
      </c>
      <c r="H42">
        <v>3.91</v>
      </c>
      <c r="I42" s="3">
        <v>32.71</v>
      </c>
      <c r="J42">
        <v>-2.29</v>
      </c>
      <c r="K42" s="3">
        <v>5.9</v>
      </c>
      <c r="L42" s="3">
        <v>66.099999999999994</v>
      </c>
      <c r="M42">
        <v>66.400000000000006</v>
      </c>
    </row>
    <row r="43" spans="1:16" s="6" customFormat="1" hidden="1">
      <c r="A43" s="6" t="s">
        <v>97</v>
      </c>
      <c r="B43" s="6" t="s">
        <v>67</v>
      </c>
      <c r="C43" s="6" t="s">
        <v>44</v>
      </c>
      <c r="D43" s="5">
        <v>-16</v>
      </c>
      <c r="E43" s="8">
        <f t="shared" si="2"/>
        <v>-16.351652110517414</v>
      </c>
      <c r="F43" s="6">
        <v>125</v>
      </c>
      <c r="G43">
        <v>2</v>
      </c>
      <c r="H43" s="6">
        <v>3.91</v>
      </c>
      <c r="I43" s="7">
        <v>32.71</v>
      </c>
      <c r="J43" s="6">
        <v>-2.29</v>
      </c>
      <c r="K43" s="7">
        <v>5.9</v>
      </c>
      <c r="L43" s="7">
        <v>66.099999999999994</v>
      </c>
      <c r="M43" s="6">
        <v>66.400000000000006</v>
      </c>
      <c r="P43" s="7"/>
    </row>
    <row r="44" spans="1:16">
      <c r="A44" t="s">
        <v>87</v>
      </c>
      <c r="B44" s="2" t="s">
        <v>44</v>
      </c>
      <c r="C44" s="2" t="s">
        <v>98</v>
      </c>
      <c r="D44" s="4">
        <v>-23</v>
      </c>
      <c r="E44" s="8">
        <f>$P$10+(F44*$P$11)+($P$12*G44)+($P$13*H44)+($P$14*I44)+($P$15*J44)+($P$16*K44)+($P$17*L44)+($P$18*M44)</f>
        <v>-4.6267408305505384</v>
      </c>
      <c r="F44">
        <v>2</v>
      </c>
      <c r="G44">
        <v>5</v>
      </c>
      <c r="H44">
        <v>32.71</v>
      </c>
      <c r="I44" s="3">
        <v>30.33</v>
      </c>
      <c r="J44">
        <v>5.9</v>
      </c>
      <c r="K44" s="3">
        <v>-2.4500000000000002</v>
      </c>
      <c r="L44" s="3">
        <v>70.2</v>
      </c>
      <c r="M44">
        <v>66.099999999999994</v>
      </c>
    </row>
    <row r="45" spans="1:16" s="6" customFormat="1" hidden="1">
      <c r="A45" s="6" t="s">
        <v>87</v>
      </c>
      <c r="B45" s="8" t="s">
        <v>44</v>
      </c>
      <c r="C45" s="8" t="s">
        <v>98</v>
      </c>
      <c r="D45" s="5">
        <v>-23</v>
      </c>
      <c r="E45" s="8">
        <f t="shared" ref="E45:E46" si="3">$P$10+(F45*$P$11)+($P$12*G45)+($P$13*H45)+($P$14*I45)+($P$15*J45)+($P$16*K45)+($P$17*L45)+($P$18*M45)</f>
        <v>-4.6267408305505384</v>
      </c>
      <c r="F45" s="6">
        <v>2</v>
      </c>
      <c r="G45">
        <v>5</v>
      </c>
      <c r="H45" s="6">
        <v>32.71</v>
      </c>
      <c r="I45" s="7">
        <v>30.33</v>
      </c>
      <c r="J45" s="6">
        <v>5.9</v>
      </c>
      <c r="K45" s="7">
        <v>-2.4500000000000002</v>
      </c>
      <c r="L45" s="7">
        <v>70.2</v>
      </c>
      <c r="M45" s="6">
        <v>66.099999999999994</v>
      </c>
      <c r="P45" s="7"/>
    </row>
    <row r="46" spans="1:16">
      <c r="A46" t="s">
        <v>87</v>
      </c>
      <c r="B46" s="2" t="s">
        <v>44</v>
      </c>
      <c r="C46" s="2" t="s">
        <v>64</v>
      </c>
      <c r="D46" s="5"/>
      <c r="E46" s="8">
        <f t="shared" si="3"/>
        <v>12.376441350883937</v>
      </c>
      <c r="F46">
        <v>5</v>
      </c>
      <c r="G46">
        <v>108</v>
      </c>
      <c r="H46">
        <v>29.24</v>
      </c>
      <c r="I46" s="3">
        <v>6.54</v>
      </c>
      <c r="J46">
        <v>8.6300000000000008</v>
      </c>
      <c r="K46" s="3">
        <v>-1.36</v>
      </c>
      <c r="L46" s="3">
        <v>64.5</v>
      </c>
      <c r="M46">
        <v>65.8</v>
      </c>
    </row>
    <row r="47" spans="1:16">
      <c r="A47" t="s">
        <v>87</v>
      </c>
      <c r="B47" s="2" t="s">
        <v>44</v>
      </c>
      <c r="C47" s="2" t="s">
        <v>49</v>
      </c>
      <c r="D47" s="5"/>
      <c r="E47" s="8">
        <f>$P$10+(F47*$P$11)+($P$12*G47)+($P$13*H47)+($P$14*I47)+($P$15*J47)+($P$16*K47)+($P$17*L47)+($P$18*M47)</f>
        <v>13.057648312658365</v>
      </c>
      <c r="F47">
        <v>5</v>
      </c>
      <c r="G47">
        <v>88</v>
      </c>
      <c r="H47">
        <v>29.24</v>
      </c>
      <c r="I47" s="3">
        <v>9.2899999999999991</v>
      </c>
      <c r="J47">
        <v>8.6300000000000008</v>
      </c>
      <c r="K47" s="3">
        <v>-2.75</v>
      </c>
      <c r="L47" s="3">
        <v>70.7</v>
      </c>
      <c r="M47">
        <v>65.8</v>
      </c>
    </row>
    <row r="48" spans="1:16">
      <c r="A48" t="s">
        <v>99</v>
      </c>
      <c r="B48" s="2" t="s">
        <v>44</v>
      </c>
      <c r="C48" s="2" t="s">
        <v>60</v>
      </c>
      <c r="D48" s="5"/>
      <c r="E48" s="8">
        <f>$P$10+(F48*$P$11)+($P$12*G48)+($P$13*H48)+($P$14*I48)+($P$15*J48)+($P$16*K48)+($P$17*L48)+($P$18*M48)</f>
        <v>0.63087220413111567</v>
      </c>
      <c r="F48">
        <v>5</v>
      </c>
      <c r="G48">
        <v>21</v>
      </c>
      <c r="H48">
        <v>29.24</v>
      </c>
      <c r="I48" s="3">
        <v>21.54</v>
      </c>
      <c r="J48">
        <v>8.6300000000000008</v>
      </c>
      <c r="K48" s="3">
        <v>6.13</v>
      </c>
      <c r="L48" s="3">
        <v>68.5</v>
      </c>
      <c r="M48">
        <v>65.8</v>
      </c>
    </row>
    <row r="49" spans="1:13">
      <c r="A49" t="s">
        <v>87</v>
      </c>
      <c r="B49" t="s">
        <v>44</v>
      </c>
      <c r="C49" t="s">
        <v>100</v>
      </c>
      <c r="D49" s="5"/>
      <c r="E49" s="8"/>
      <c r="F49">
        <v>5</v>
      </c>
      <c r="H49">
        <v>29.24</v>
      </c>
      <c r="J49">
        <v>8.6300000000000008</v>
      </c>
      <c r="M49">
        <v>65.8</v>
      </c>
    </row>
    <row r="50" spans="1:13">
      <c r="A50" t="s">
        <v>101</v>
      </c>
      <c r="B50" t="s">
        <v>80</v>
      </c>
      <c r="C50" t="s">
        <v>44</v>
      </c>
      <c r="D50" s="5"/>
      <c r="E50" s="8"/>
      <c r="G50">
        <v>5</v>
      </c>
      <c r="I50" s="3">
        <v>29.24</v>
      </c>
      <c r="K50" s="3">
        <v>8.6300000000000008</v>
      </c>
      <c r="L50" s="3">
        <v>65.8</v>
      </c>
    </row>
    <row r="51" spans="1:13">
      <c r="A51" t="s">
        <v>87</v>
      </c>
      <c r="B51" t="s">
        <v>44</v>
      </c>
      <c r="C51" t="s">
        <v>70</v>
      </c>
      <c r="D51" s="5"/>
      <c r="E51" s="8"/>
      <c r="F51">
        <v>5</v>
      </c>
      <c r="H51">
        <v>29.24</v>
      </c>
      <c r="J51">
        <v>8.6300000000000008</v>
      </c>
      <c r="M51">
        <v>65.8</v>
      </c>
    </row>
    <row r="52" spans="1:13">
      <c r="A52" t="s">
        <v>87</v>
      </c>
      <c r="B52" t="s">
        <v>44</v>
      </c>
      <c r="C52" t="s">
        <v>55</v>
      </c>
      <c r="D52" s="5"/>
      <c r="E52" s="8"/>
      <c r="F52">
        <v>5</v>
      </c>
      <c r="H52">
        <v>29.24</v>
      </c>
      <c r="J52">
        <v>8.6300000000000008</v>
      </c>
      <c r="M52">
        <v>65.8</v>
      </c>
    </row>
    <row r="53" spans="1:13">
      <c r="A53" t="s">
        <v>87</v>
      </c>
      <c r="B53" t="s">
        <v>44</v>
      </c>
      <c r="C53" t="s">
        <v>77</v>
      </c>
      <c r="D53" s="5"/>
      <c r="E53" s="8"/>
      <c r="F53">
        <v>5</v>
      </c>
      <c r="H53">
        <v>29.24</v>
      </c>
      <c r="J53">
        <v>8.6300000000000008</v>
      </c>
      <c r="M53">
        <v>65.8</v>
      </c>
    </row>
    <row r="54" spans="1:13">
      <c r="A54" t="s">
        <v>102</v>
      </c>
      <c r="B54" t="s">
        <v>78</v>
      </c>
      <c r="C54" t="s">
        <v>44</v>
      </c>
      <c r="D54" s="5"/>
      <c r="E54" s="8"/>
      <c r="I54" s="3">
        <v>29.24</v>
      </c>
      <c r="K54" s="3">
        <v>8.6300000000000008</v>
      </c>
      <c r="L54" s="3">
        <v>65.8</v>
      </c>
    </row>
    <row r="55" spans="1:13">
      <c r="A55" t="s">
        <v>103</v>
      </c>
      <c r="B55" t="s">
        <v>84</v>
      </c>
      <c r="C55" t="s">
        <v>44</v>
      </c>
      <c r="D55" s="5"/>
      <c r="E55" s="8"/>
      <c r="G55">
        <v>5</v>
      </c>
      <c r="I55" s="3">
        <v>29.24</v>
      </c>
      <c r="K55" s="3">
        <v>8.6300000000000008</v>
      </c>
      <c r="L55" s="3">
        <v>65.8</v>
      </c>
    </row>
    <row r="56" spans="1:13">
      <c r="A56" t="s">
        <v>87</v>
      </c>
      <c r="B56" t="s">
        <v>44</v>
      </c>
      <c r="C56" t="s">
        <v>86</v>
      </c>
      <c r="D56" s="5"/>
      <c r="E56" s="8"/>
      <c r="F56">
        <v>5</v>
      </c>
      <c r="H56">
        <v>29.24</v>
      </c>
      <c r="J56">
        <v>8.6300000000000008</v>
      </c>
      <c r="M56">
        <v>65.8</v>
      </c>
    </row>
    <row r="57" spans="1:13">
      <c r="A57" t="s">
        <v>104</v>
      </c>
      <c r="B57" t="s">
        <v>75</v>
      </c>
      <c r="C57" t="s">
        <v>44</v>
      </c>
      <c r="D57" s="5"/>
      <c r="E57" s="8"/>
      <c r="G57">
        <v>5</v>
      </c>
      <c r="I57" s="3">
        <v>29.24</v>
      </c>
      <c r="K57" s="3">
        <v>8.6300000000000008</v>
      </c>
      <c r="L57" s="3">
        <v>65.8</v>
      </c>
    </row>
    <row r="58" spans="1:13">
      <c r="A58" t="s">
        <v>105</v>
      </c>
      <c r="B58" t="s">
        <v>56</v>
      </c>
      <c r="C58" t="s">
        <v>44</v>
      </c>
      <c r="D58" s="5"/>
      <c r="E58" s="8"/>
      <c r="G58">
        <v>5</v>
      </c>
      <c r="I58" s="3">
        <v>29.24</v>
      </c>
      <c r="K58" s="3">
        <v>8.6300000000000008</v>
      </c>
      <c r="L58" s="3">
        <v>65.8</v>
      </c>
    </row>
    <row r="59" spans="1:13">
      <c r="A59" t="s">
        <v>87</v>
      </c>
      <c r="B59" t="s">
        <v>44</v>
      </c>
      <c r="C59" t="s">
        <v>72</v>
      </c>
      <c r="D59" s="5"/>
      <c r="E59" s="8"/>
      <c r="F59">
        <v>5</v>
      </c>
      <c r="H59">
        <v>29.24</v>
      </c>
      <c r="J59">
        <v>8.6300000000000008</v>
      </c>
      <c r="M59">
        <v>65.8</v>
      </c>
    </row>
    <row r="60" spans="1:13">
      <c r="A60" t="s">
        <v>106</v>
      </c>
      <c r="B60" t="s">
        <v>68</v>
      </c>
      <c r="C60" t="s">
        <v>44</v>
      </c>
      <c r="D60" s="5"/>
      <c r="E60" s="8"/>
      <c r="G60">
        <v>5</v>
      </c>
      <c r="I60" s="3">
        <v>29.24</v>
      </c>
      <c r="K60" s="3">
        <v>8.6300000000000008</v>
      </c>
      <c r="L60" s="3">
        <v>65.8</v>
      </c>
    </row>
    <row r="61" spans="1:13">
      <c r="A61" t="s">
        <v>107</v>
      </c>
      <c r="B61" t="s">
        <v>77</v>
      </c>
      <c r="C61" t="s">
        <v>44</v>
      </c>
      <c r="D61" s="5"/>
      <c r="E61" s="8"/>
      <c r="G61">
        <v>5</v>
      </c>
      <c r="I61" s="3">
        <v>29.24</v>
      </c>
      <c r="K61" s="3">
        <v>8.6300000000000008</v>
      </c>
      <c r="L61" s="3">
        <v>65.8</v>
      </c>
    </row>
    <row r="62" spans="1:13">
      <c r="A62" t="s">
        <v>87</v>
      </c>
      <c r="B62" t="s">
        <v>44</v>
      </c>
      <c r="C62" t="s">
        <v>74</v>
      </c>
      <c r="D62" s="5"/>
      <c r="E62" s="8"/>
      <c r="F62">
        <v>5</v>
      </c>
      <c r="H62">
        <v>29.24</v>
      </c>
      <c r="J62">
        <v>8.6300000000000008</v>
      </c>
      <c r="M62">
        <v>65.8</v>
      </c>
    </row>
    <row r="63" spans="1:13">
      <c r="A63" t="s">
        <v>87</v>
      </c>
      <c r="B63" t="s">
        <v>44</v>
      </c>
      <c r="C63" t="s">
        <v>75</v>
      </c>
      <c r="D63" s="5"/>
      <c r="E63" s="8"/>
      <c r="F63">
        <v>5</v>
      </c>
      <c r="H63">
        <v>29.24</v>
      </c>
      <c r="J63">
        <v>8.6300000000000008</v>
      </c>
      <c r="M63">
        <v>65.8</v>
      </c>
    </row>
    <row r="64" spans="1:13">
      <c r="A64" t="s">
        <v>87</v>
      </c>
      <c r="B64" t="s">
        <v>44</v>
      </c>
      <c r="C64" t="s">
        <v>82</v>
      </c>
      <c r="D64" s="5"/>
      <c r="E64" s="8"/>
      <c r="F64">
        <v>5</v>
      </c>
      <c r="H64">
        <v>29.24</v>
      </c>
      <c r="J64">
        <v>8.6300000000000008</v>
      </c>
      <c r="M64">
        <v>65.8</v>
      </c>
    </row>
    <row r="65" spans="1:13">
      <c r="A65" t="s">
        <v>108</v>
      </c>
      <c r="B65" t="s">
        <v>73</v>
      </c>
      <c r="C65" t="s">
        <v>44</v>
      </c>
      <c r="D65" s="5"/>
      <c r="E65" s="8"/>
      <c r="G65">
        <v>5</v>
      </c>
      <c r="I65" s="3">
        <v>29.24</v>
      </c>
      <c r="K65" s="3">
        <v>8.6300000000000008</v>
      </c>
      <c r="L65" s="3">
        <v>65.8</v>
      </c>
    </row>
    <row r="66" spans="1:13">
      <c r="A66" t="s">
        <v>109</v>
      </c>
      <c r="B66" t="s">
        <v>65</v>
      </c>
      <c r="C66" t="s">
        <v>44</v>
      </c>
      <c r="D66" s="5"/>
      <c r="E66" s="8"/>
      <c r="G66">
        <v>5</v>
      </c>
      <c r="I66" s="3">
        <v>29.24</v>
      </c>
      <c r="K66" s="3">
        <v>8.6300000000000008</v>
      </c>
      <c r="L66" s="3">
        <v>65.8</v>
      </c>
    </row>
    <row r="67" spans="1:13">
      <c r="A67" t="s">
        <v>87</v>
      </c>
      <c r="B67" t="s">
        <v>44</v>
      </c>
      <c r="C67" t="s">
        <v>80</v>
      </c>
      <c r="D67" s="5"/>
      <c r="E67" s="8"/>
      <c r="F67">
        <v>5</v>
      </c>
      <c r="H67">
        <v>29.24</v>
      </c>
      <c r="J67">
        <v>8.6300000000000008</v>
      </c>
      <c r="M67">
        <v>65.8</v>
      </c>
    </row>
    <row r="70" spans="1:13">
      <c r="A70" s="6" t="s">
        <v>110</v>
      </c>
    </row>
    <row r="71" spans="1:13">
      <c r="A71" s="3" cm="1">
        <f t="array" ref="A71">AVERAGE((ABS(D2:D44))-(ABS(E2:E44)))</f>
        <v>5.7111600263865432</v>
      </c>
    </row>
    <row r="72" spans="1:13">
      <c r="A72" s="6" t="s">
        <v>111</v>
      </c>
    </row>
    <row r="73" spans="1:13">
      <c r="A73" s="3" cm="1">
        <f t="array" ref="A73">_xlfn.STDEV.P(ABS((D2:D45)-(E2:E45)))</f>
        <v>7.1882475015757867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639E-CD91-4778-9167-A4FA2F431F0F}">
  <dimension ref="A1:O115"/>
  <sheetViews>
    <sheetView topLeftCell="A34" workbookViewId="0">
      <selection activeCell="I53" sqref="I53"/>
    </sheetView>
  </sheetViews>
  <sheetFormatPr defaultRowHeight="14.45"/>
  <cols>
    <col min="1" max="1" width="39.140625" bestFit="1" customWidth="1"/>
    <col min="2" max="2" width="12.7109375" bestFit="1" customWidth="1"/>
    <col min="3" max="3" width="15.85546875" bestFit="1" customWidth="1"/>
    <col min="4" max="4" width="14.28515625" style="4" bestFit="1" customWidth="1"/>
    <col min="5" max="5" width="15" bestFit="1" customWidth="1"/>
    <col min="6" max="7" width="14.42578125" bestFit="1" customWidth="1"/>
    <col min="8" max="8" width="13.85546875" style="3" bestFit="1" customWidth="1"/>
    <col min="9" max="9" width="22.85546875" bestFit="1" customWidth="1"/>
    <col min="10" max="10" width="22.140625" style="3" bestFit="1" customWidth="1"/>
    <col min="11" max="11" width="10.85546875" style="3" bestFit="1" customWidth="1"/>
    <col min="12" max="12" width="11.42578125" bestFit="1" customWidth="1"/>
    <col min="14" max="14" width="22.140625" bestFit="1" customWidth="1"/>
    <col min="15" max="15" width="15.5703125" style="3" bestFit="1" customWidth="1"/>
    <col min="16" max="16" width="22.140625" bestFit="1" customWidth="1"/>
    <col min="17" max="17" width="14.5703125" bestFit="1" customWidth="1"/>
  </cols>
  <sheetData>
    <row r="1" spans="1:15">
      <c r="A1" t="s">
        <v>36</v>
      </c>
      <c r="B1" t="s">
        <v>37</v>
      </c>
      <c r="C1" t="s">
        <v>38</v>
      </c>
      <c r="D1" s="4" t="s">
        <v>113</v>
      </c>
      <c r="E1" t="s">
        <v>24</v>
      </c>
      <c r="F1" t="s">
        <v>25</v>
      </c>
      <c r="G1" t="s">
        <v>26</v>
      </c>
      <c r="H1" s="3" t="s">
        <v>27</v>
      </c>
      <c r="I1" t="s">
        <v>28</v>
      </c>
      <c r="J1" s="3" t="s">
        <v>29</v>
      </c>
      <c r="K1" s="3" t="s">
        <v>30</v>
      </c>
      <c r="L1" t="s">
        <v>31</v>
      </c>
    </row>
    <row r="2" spans="1:15">
      <c r="A2" t="s">
        <v>43</v>
      </c>
      <c r="B2" t="s">
        <v>44</v>
      </c>
      <c r="C2" t="s">
        <v>45</v>
      </c>
      <c r="D2" s="4">
        <v>22</v>
      </c>
      <c r="E2">
        <v>15</v>
      </c>
      <c r="F2">
        <v>193</v>
      </c>
      <c r="G2">
        <v>25.36</v>
      </c>
      <c r="H2" s="3">
        <v>-2.85</v>
      </c>
      <c r="I2">
        <v>16.760000000000002</v>
      </c>
      <c r="J2" s="3">
        <v>-2.38</v>
      </c>
      <c r="K2" s="3">
        <v>69.3</v>
      </c>
      <c r="L2">
        <v>65.099999999999994</v>
      </c>
    </row>
    <row r="3" spans="1:15">
      <c r="A3" t="s">
        <v>43</v>
      </c>
      <c r="B3" t="s">
        <v>44</v>
      </c>
      <c r="C3" t="s">
        <v>46</v>
      </c>
      <c r="D3" s="4">
        <v>8</v>
      </c>
      <c r="E3">
        <v>15</v>
      </c>
      <c r="F3">
        <v>74</v>
      </c>
      <c r="G3">
        <v>25.36</v>
      </c>
      <c r="H3" s="3">
        <v>11.02</v>
      </c>
      <c r="I3">
        <v>16.760000000000002</v>
      </c>
      <c r="J3" s="3">
        <v>-1.85</v>
      </c>
      <c r="K3" s="3">
        <v>67.7</v>
      </c>
      <c r="L3">
        <v>65.099999999999994</v>
      </c>
    </row>
    <row r="4" spans="1:15">
      <c r="A4" t="s">
        <v>43</v>
      </c>
      <c r="B4" t="s">
        <v>44</v>
      </c>
      <c r="C4" t="s">
        <v>47</v>
      </c>
      <c r="D4" s="4">
        <v>9</v>
      </c>
      <c r="E4">
        <v>15</v>
      </c>
      <c r="F4">
        <v>6</v>
      </c>
      <c r="G4">
        <v>25.36</v>
      </c>
      <c r="H4" s="3">
        <v>30.34</v>
      </c>
      <c r="I4">
        <v>16.760000000000002</v>
      </c>
      <c r="J4" s="3">
        <v>20.14</v>
      </c>
      <c r="K4" s="3">
        <v>75.3</v>
      </c>
      <c r="L4">
        <v>65.099999999999994</v>
      </c>
    </row>
    <row r="5" spans="1:15">
      <c r="A5" t="s">
        <v>48</v>
      </c>
      <c r="B5" t="s">
        <v>49</v>
      </c>
      <c r="C5" t="s">
        <v>44</v>
      </c>
      <c r="D5" s="4">
        <v>-18</v>
      </c>
      <c r="E5">
        <v>29</v>
      </c>
      <c r="F5">
        <v>15</v>
      </c>
      <c r="G5">
        <v>24.66</v>
      </c>
      <c r="H5" s="3">
        <v>25.36</v>
      </c>
      <c r="I5">
        <v>8.48</v>
      </c>
      <c r="J5" s="3">
        <v>16.760000000000002</v>
      </c>
      <c r="K5" s="3">
        <v>65.099999999999994</v>
      </c>
      <c r="L5">
        <v>70.2</v>
      </c>
    </row>
    <row r="6" spans="1:15">
      <c r="A6" t="s">
        <v>43</v>
      </c>
      <c r="B6" t="s">
        <v>44</v>
      </c>
      <c r="C6" t="s">
        <v>50</v>
      </c>
      <c r="D6" s="4">
        <v>35</v>
      </c>
      <c r="E6">
        <v>15</v>
      </c>
      <c r="F6">
        <v>189</v>
      </c>
      <c r="G6">
        <v>25.36</v>
      </c>
      <c r="H6" s="3">
        <v>-0.3</v>
      </c>
      <c r="I6">
        <v>16.760000000000002</v>
      </c>
      <c r="J6" s="3">
        <v>-4.1100000000000003</v>
      </c>
      <c r="K6" s="3">
        <v>68.900000000000006</v>
      </c>
      <c r="L6">
        <v>65.099999999999994</v>
      </c>
    </row>
    <row r="7" spans="1:15">
      <c r="A7" t="s">
        <v>51</v>
      </c>
      <c r="B7" t="s">
        <v>52</v>
      </c>
      <c r="C7" t="s">
        <v>44</v>
      </c>
      <c r="D7" s="4">
        <v>-10</v>
      </c>
      <c r="E7">
        <v>38</v>
      </c>
      <c r="F7">
        <v>15</v>
      </c>
      <c r="G7">
        <v>15.53</v>
      </c>
      <c r="H7" s="3">
        <v>25.36</v>
      </c>
      <c r="I7">
        <v>13.15</v>
      </c>
      <c r="J7" s="3">
        <v>16.760000000000002</v>
      </c>
      <c r="K7" s="3">
        <v>65.099999999999994</v>
      </c>
      <c r="L7">
        <v>68.3</v>
      </c>
    </row>
    <row r="8" spans="1:15">
      <c r="A8" t="s">
        <v>51</v>
      </c>
      <c r="B8" t="s">
        <v>53</v>
      </c>
      <c r="C8" t="s">
        <v>44</v>
      </c>
      <c r="D8" s="4">
        <v>-2</v>
      </c>
      <c r="E8">
        <v>22</v>
      </c>
      <c r="F8">
        <v>15</v>
      </c>
      <c r="G8">
        <v>23.34</v>
      </c>
      <c r="H8" s="3">
        <v>25.36</v>
      </c>
      <c r="I8">
        <v>16.98</v>
      </c>
      <c r="J8" s="3">
        <v>16.760000000000002</v>
      </c>
      <c r="K8" s="3">
        <v>65.099999999999994</v>
      </c>
      <c r="L8">
        <v>68.099999999999994</v>
      </c>
    </row>
    <row r="9" spans="1:15">
      <c r="A9" t="s">
        <v>54</v>
      </c>
      <c r="B9" t="s">
        <v>55</v>
      </c>
      <c r="C9" t="s">
        <v>44</v>
      </c>
      <c r="D9" s="4">
        <v>-11</v>
      </c>
      <c r="E9">
        <v>58</v>
      </c>
      <c r="F9">
        <v>15</v>
      </c>
      <c r="G9">
        <v>15.42</v>
      </c>
      <c r="H9" s="3">
        <v>25.36</v>
      </c>
      <c r="I9">
        <v>13.68</v>
      </c>
      <c r="J9" s="3">
        <v>16.760000000000002</v>
      </c>
      <c r="K9" s="3">
        <v>65.099999999999994</v>
      </c>
      <c r="L9">
        <v>65.599999999999994</v>
      </c>
      <c r="O9" s="3" t="s">
        <v>16</v>
      </c>
    </row>
    <row r="10" spans="1:15">
      <c r="A10" t="s">
        <v>43</v>
      </c>
      <c r="B10" t="s">
        <v>44</v>
      </c>
      <c r="C10" t="s">
        <v>56</v>
      </c>
      <c r="D10" s="4">
        <v>5</v>
      </c>
      <c r="E10">
        <v>15</v>
      </c>
      <c r="F10">
        <v>10</v>
      </c>
      <c r="G10">
        <v>25.36</v>
      </c>
      <c r="H10" s="3">
        <v>27.07</v>
      </c>
      <c r="I10">
        <v>16.760000000000002</v>
      </c>
      <c r="J10" s="3">
        <v>12.51</v>
      </c>
      <c r="K10" s="3">
        <v>69.599999999999994</v>
      </c>
      <c r="L10">
        <v>65.099999999999994</v>
      </c>
      <c r="N10" t="s">
        <v>23</v>
      </c>
      <c r="O10">
        <v>-180.00066085996056</v>
      </c>
    </row>
    <row r="11" spans="1:15">
      <c r="A11" t="s">
        <v>57</v>
      </c>
      <c r="B11" t="s">
        <v>58</v>
      </c>
      <c r="C11" t="s">
        <v>44</v>
      </c>
      <c r="D11" s="4">
        <v>-4</v>
      </c>
      <c r="E11">
        <v>18</v>
      </c>
      <c r="F11">
        <v>15</v>
      </c>
      <c r="G11">
        <v>23.66</v>
      </c>
      <c r="H11" s="3">
        <v>25.36</v>
      </c>
      <c r="I11">
        <v>16.52</v>
      </c>
      <c r="J11" s="3">
        <v>16.760000000000002</v>
      </c>
      <c r="K11" s="3">
        <v>65.099999999999994</v>
      </c>
      <c r="L11">
        <v>66.8</v>
      </c>
      <c r="N11" t="s">
        <v>24</v>
      </c>
      <c r="O11">
        <v>-0.14365725650753544</v>
      </c>
    </row>
    <row r="12" spans="1:15">
      <c r="A12" t="s">
        <v>59</v>
      </c>
      <c r="B12" t="s">
        <v>60</v>
      </c>
      <c r="C12" t="s">
        <v>61</v>
      </c>
      <c r="D12" s="4">
        <v>-18</v>
      </c>
      <c r="E12">
        <v>4</v>
      </c>
      <c r="F12">
        <v>15</v>
      </c>
      <c r="G12">
        <v>35.049999999999997</v>
      </c>
      <c r="H12" s="3">
        <v>25.36</v>
      </c>
      <c r="I12">
        <v>19.63</v>
      </c>
      <c r="J12" s="3">
        <v>16.760000000000002</v>
      </c>
      <c r="K12" s="3">
        <v>65.099999999999994</v>
      </c>
      <c r="L12">
        <v>68.2</v>
      </c>
      <c r="N12" t="s">
        <v>25</v>
      </c>
      <c r="O12">
        <v>-0.27882438781870622</v>
      </c>
    </row>
    <row r="13" spans="1:15">
      <c r="A13" t="s">
        <v>43</v>
      </c>
      <c r="B13" t="s">
        <v>44</v>
      </c>
      <c r="C13" t="s">
        <v>62</v>
      </c>
      <c r="D13" s="4">
        <v>19</v>
      </c>
      <c r="E13">
        <v>15</v>
      </c>
      <c r="F13">
        <v>157</v>
      </c>
      <c r="G13">
        <v>25.36</v>
      </c>
      <c r="H13" s="3">
        <v>-0.47</v>
      </c>
      <c r="I13">
        <v>16.760000000000002</v>
      </c>
      <c r="J13" s="3">
        <v>-2.72</v>
      </c>
      <c r="K13" s="3">
        <v>68.8</v>
      </c>
      <c r="L13">
        <v>65.099999999999994</v>
      </c>
      <c r="N13" t="s">
        <v>26</v>
      </c>
      <c r="O13">
        <v>-1.3905663375509001</v>
      </c>
    </row>
    <row r="14" spans="1:15">
      <c r="A14" t="s">
        <v>63</v>
      </c>
      <c r="B14" t="s">
        <v>64</v>
      </c>
      <c r="C14" t="s">
        <v>44</v>
      </c>
      <c r="D14" s="4">
        <v>-20</v>
      </c>
      <c r="E14">
        <v>83</v>
      </c>
      <c r="F14">
        <v>15</v>
      </c>
      <c r="G14">
        <v>15.26</v>
      </c>
      <c r="H14" s="3">
        <v>25.36</v>
      </c>
      <c r="I14">
        <v>12.37</v>
      </c>
      <c r="J14" s="3">
        <v>16.760000000000002</v>
      </c>
      <c r="K14" s="3">
        <v>65.099999999999994</v>
      </c>
      <c r="L14">
        <v>66.8</v>
      </c>
      <c r="N14" t="s">
        <v>27</v>
      </c>
      <c r="O14">
        <v>-2.3825258312538402</v>
      </c>
    </row>
    <row r="15" spans="1:15">
      <c r="A15" t="s">
        <v>43</v>
      </c>
      <c r="B15" t="s">
        <v>44</v>
      </c>
      <c r="C15" t="s">
        <v>65</v>
      </c>
      <c r="D15" s="4">
        <v>18</v>
      </c>
      <c r="E15">
        <v>15</v>
      </c>
      <c r="F15">
        <v>44</v>
      </c>
      <c r="G15">
        <v>25.36</v>
      </c>
      <c r="H15" s="3">
        <v>17.02</v>
      </c>
      <c r="I15">
        <v>16.760000000000002</v>
      </c>
      <c r="J15" s="3">
        <v>13.07</v>
      </c>
      <c r="K15" s="3">
        <v>65.2</v>
      </c>
      <c r="L15">
        <v>65.099999999999994</v>
      </c>
      <c r="N15" t="s">
        <v>28</v>
      </c>
      <c r="O15">
        <v>1.1551341405488769</v>
      </c>
    </row>
    <row r="16" spans="1:15">
      <c r="A16" t="s">
        <v>66</v>
      </c>
      <c r="B16" t="s">
        <v>67</v>
      </c>
      <c r="C16" t="s">
        <v>44</v>
      </c>
      <c r="D16" s="4">
        <v>-18</v>
      </c>
      <c r="E16">
        <v>70</v>
      </c>
      <c r="F16">
        <v>15</v>
      </c>
      <c r="G16">
        <v>14.75</v>
      </c>
      <c r="H16" s="3">
        <v>25.36</v>
      </c>
      <c r="I16">
        <v>13.43</v>
      </c>
      <c r="J16" s="3">
        <v>16.760000000000002</v>
      </c>
      <c r="K16" s="3">
        <v>65.099999999999994</v>
      </c>
      <c r="L16">
        <v>66.400000000000006</v>
      </c>
      <c r="N16" t="s">
        <v>29</v>
      </c>
      <c r="O16">
        <v>-0.3064042943615537</v>
      </c>
    </row>
    <row r="17" spans="1:15">
      <c r="A17" t="s">
        <v>43</v>
      </c>
      <c r="B17" t="s">
        <v>44</v>
      </c>
      <c r="C17" t="s">
        <v>68</v>
      </c>
      <c r="D17" s="4">
        <v>36</v>
      </c>
      <c r="E17">
        <v>15</v>
      </c>
      <c r="F17">
        <v>46</v>
      </c>
      <c r="G17">
        <v>25.36</v>
      </c>
      <c r="H17" s="3">
        <v>16.98</v>
      </c>
      <c r="I17">
        <v>16.760000000000002</v>
      </c>
      <c r="J17" s="3">
        <v>12.81</v>
      </c>
      <c r="K17" s="3">
        <v>67.8</v>
      </c>
      <c r="L17">
        <v>65.099999999999994</v>
      </c>
      <c r="N17" t="s">
        <v>30</v>
      </c>
      <c r="O17">
        <v>3.3420637293712194</v>
      </c>
    </row>
    <row r="18" spans="1:15" ht="15" thickBot="1">
      <c r="A18" t="s">
        <v>69</v>
      </c>
      <c r="B18" t="s">
        <v>70</v>
      </c>
      <c r="C18" t="s">
        <v>44</v>
      </c>
      <c r="D18" s="4">
        <v>-11</v>
      </c>
      <c r="E18">
        <v>104</v>
      </c>
      <c r="F18">
        <v>15</v>
      </c>
      <c r="G18">
        <v>13.88</v>
      </c>
      <c r="H18" s="3">
        <v>25.36</v>
      </c>
      <c r="I18">
        <v>10.27</v>
      </c>
      <c r="J18" s="3">
        <v>16.760000000000002</v>
      </c>
      <c r="K18" s="3">
        <v>65.099999999999994</v>
      </c>
      <c r="L18">
        <v>69.3</v>
      </c>
      <c r="N18" s="1" t="s">
        <v>31</v>
      </c>
      <c r="O18" s="1">
        <v>0.62465933972652554</v>
      </c>
    </row>
    <row r="19" spans="1:15">
      <c r="A19" t="s">
        <v>71</v>
      </c>
      <c r="B19" t="s">
        <v>72</v>
      </c>
      <c r="C19" t="s">
        <v>44</v>
      </c>
      <c r="D19" s="4">
        <v>-7</v>
      </c>
      <c r="E19">
        <v>27</v>
      </c>
      <c r="F19">
        <v>15</v>
      </c>
      <c r="G19">
        <v>19.53</v>
      </c>
      <c r="H19" s="3">
        <v>25.36</v>
      </c>
      <c r="I19">
        <v>14.36</v>
      </c>
      <c r="J19" s="3">
        <v>16.760000000000002</v>
      </c>
      <c r="K19" s="3">
        <v>65.099999999999994</v>
      </c>
      <c r="L19">
        <v>68.099999999999994</v>
      </c>
    </row>
    <row r="20" spans="1:15">
      <c r="A20" t="s">
        <v>43</v>
      </c>
      <c r="B20" t="s">
        <v>44</v>
      </c>
      <c r="C20" t="s">
        <v>73</v>
      </c>
      <c r="D20" s="4">
        <v>-3</v>
      </c>
      <c r="E20">
        <v>15</v>
      </c>
      <c r="F20">
        <v>37</v>
      </c>
      <c r="G20">
        <v>25.36</v>
      </c>
      <c r="H20" s="3">
        <v>19.079999999999998</v>
      </c>
      <c r="I20">
        <v>16.760000000000002</v>
      </c>
      <c r="J20" s="3">
        <v>15.21</v>
      </c>
      <c r="K20" s="3">
        <v>67.3</v>
      </c>
      <c r="L20">
        <v>65.099999999999994</v>
      </c>
    </row>
    <row r="21" spans="1:15">
      <c r="A21" t="s">
        <v>43</v>
      </c>
      <c r="B21" t="s">
        <v>44</v>
      </c>
      <c r="C21" t="s">
        <v>74</v>
      </c>
      <c r="D21" s="4">
        <v>27</v>
      </c>
      <c r="E21">
        <v>15</v>
      </c>
      <c r="F21">
        <v>21</v>
      </c>
      <c r="G21">
        <v>25.36</v>
      </c>
      <c r="H21" s="3">
        <v>23.45</v>
      </c>
      <c r="I21">
        <v>16.760000000000002</v>
      </c>
      <c r="J21" s="3">
        <v>16.57</v>
      </c>
      <c r="K21" s="3">
        <v>70.099999999999994</v>
      </c>
      <c r="L21">
        <v>65.099999999999994</v>
      </c>
    </row>
    <row r="22" spans="1:15">
      <c r="A22" t="s">
        <v>43</v>
      </c>
      <c r="B22" t="s">
        <v>44</v>
      </c>
      <c r="C22" t="s">
        <v>75</v>
      </c>
      <c r="D22" s="4">
        <v>5</v>
      </c>
      <c r="E22">
        <v>15</v>
      </c>
      <c r="F22">
        <v>45</v>
      </c>
      <c r="G22">
        <v>25.36</v>
      </c>
      <c r="H22" s="3">
        <v>16.98</v>
      </c>
      <c r="I22">
        <v>16.760000000000002</v>
      </c>
      <c r="J22" s="3">
        <v>14.13</v>
      </c>
      <c r="K22" s="3">
        <v>68.2</v>
      </c>
      <c r="L22">
        <v>65.099999999999994</v>
      </c>
    </row>
    <row r="23" spans="1:15">
      <c r="A23" t="s">
        <v>76</v>
      </c>
      <c r="B23" t="s">
        <v>77</v>
      </c>
      <c r="C23" t="s">
        <v>44</v>
      </c>
      <c r="D23" s="4">
        <v>-9</v>
      </c>
      <c r="E23">
        <v>62</v>
      </c>
      <c r="F23">
        <v>15</v>
      </c>
      <c r="G23">
        <v>15.65</v>
      </c>
      <c r="H23" s="3">
        <v>25.36</v>
      </c>
      <c r="I23">
        <v>12.79</v>
      </c>
      <c r="J23" s="3">
        <v>16.760000000000002</v>
      </c>
      <c r="K23" s="3">
        <v>65.099999999999994</v>
      </c>
      <c r="L23">
        <v>69.099999999999994</v>
      </c>
    </row>
    <row r="24" spans="1:15">
      <c r="A24" t="s">
        <v>43</v>
      </c>
      <c r="B24" t="s">
        <v>44</v>
      </c>
      <c r="C24" t="s">
        <v>78</v>
      </c>
      <c r="D24" s="4">
        <v>18</v>
      </c>
      <c r="E24">
        <v>15</v>
      </c>
      <c r="F24">
        <v>57</v>
      </c>
      <c r="G24">
        <v>25.36</v>
      </c>
      <c r="H24" s="3">
        <v>14.39</v>
      </c>
      <c r="I24">
        <v>16.760000000000002</v>
      </c>
      <c r="J24" s="3">
        <v>12.67</v>
      </c>
      <c r="K24" s="3">
        <v>68.599999999999994</v>
      </c>
      <c r="L24">
        <v>65.099999999999994</v>
      </c>
    </row>
    <row r="25" spans="1:15">
      <c r="A25" t="s">
        <v>79</v>
      </c>
      <c r="B25" t="s">
        <v>74</v>
      </c>
      <c r="C25" t="s">
        <v>44</v>
      </c>
      <c r="D25" s="4">
        <v>-2</v>
      </c>
      <c r="E25">
        <v>21</v>
      </c>
      <c r="F25">
        <v>15</v>
      </c>
      <c r="G25">
        <v>23.45</v>
      </c>
      <c r="H25" s="3">
        <v>25.36</v>
      </c>
      <c r="I25">
        <v>16.57</v>
      </c>
      <c r="J25" s="3">
        <v>16.760000000000002</v>
      </c>
      <c r="K25" s="3">
        <v>65.099999999999994</v>
      </c>
      <c r="L25">
        <v>70.099999999999994</v>
      </c>
    </row>
    <row r="26" spans="1:15">
      <c r="A26" t="s">
        <v>43</v>
      </c>
      <c r="B26" t="s">
        <v>44</v>
      </c>
      <c r="C26" t="s">
        <v>80</v>
      </c>
      <c r="D26" s="4">
        <v>-10</v>
      </c>
      <c r="E26">
        <v>15</v>
      </c>
      <c r="F26">
        <v>12</v>
      </c>
      <c r="G26">
        <v>25.36</v>
      </c>
      <c r="H26" s="3">
        <v>26.57</v>
      </c>
      <c r="I26">
        <v>16.760000000000002</v>
      </c>
      <c r="J26" s="3">
        <v>14.53</v>
      </c>
      <c r="K26" s="3">
        <v>68</v>
      </c>
      <c r="L26">
        <v>65.099999999999994</v>
      </c>
    </row>
    <row r="27" spans="1:15">
      <c r="A27" t="s">
        <v>81</v>
      </c>
      <c r="B27" t="s">
        <v>82</v>
      </c>
      <c r="C27" t="s">
        <v>44</v>
      </c>
      <c r="D27" s="4">
        <v>-9</v>
      </c>
      <c r="E27">
        <v>7</v>
      </c>
      <c r="F27">
        <v>15</v>
      </c>
      <c r="G27">
        <v>28.48</v>
      </c>
      <c r="H27" s="3">
        <v>25.36</v>
      </c>
      <c r="I27">
        <v>14.72</v>
      </c>
      <c r="J27" s="3">
        <v>16.760000000000002</v>
      </c>
      <c r="K27" s="3">
        <v>65.099999999999994</v>
      </c>
      <c r="L27">
        <v>67.5</v>
      </c>
    </row>
    <row r="28" spans="1:15">
      <c r="A28" t="s">
        <v>83</v>
      </c>
      <c r="B28" t="s">
        <v>75</v>
      </c>
      <c r="C28" t="s">
        <v>44</v>
      </c>
      <c r="D28" s="4">
        <v>-15</v>
      </c>
      <c r="E28">
        <v>45</v>
      </c>
      <c r="F28">
        <v>15</v>
      </c>
      <c r="G28">
        <v>19.489999999999998</v>
      </c>
      <c r="H28" s="3">
        <v>25.36</v>
      </c>
      <c r="I28">
        <v>13.12</v>
      </c>
      <c r="J28" s="3">
        <v>16.760000000000002</v>
      </c>
      <c r="K28" s="3">
        <v>65.099999999999994</v>
      </c>
      <c r="L28">
        <v>68.7</v>
      </c>
    </row>
    <row r="29" spans="1:15">
      <c r="A29" t="s">
        <v>43</v>
      </c>
      <c r="B29" t="s">
        <v>44</v>
      </c>
      <c r="C29" t="s">
        <v>84</v>
      </c>
      <c r="D29" s="4">
        <v>10</v>
      </c>
      <c r="E29">
        <v>15</v>
      </c>
      <c r="F29">
        <v>20</v>
      </c>
      <c r="G29">
        <v>25.36</v>
      </c>
      <c r="H29" s="3">
        <v>23.46</v>
      </c>
      <c r="I29">
        <v>16.760000000000002</v>
      </c>
      <c r="J29" s="3">
        <v>14.09</v>
      </c>
      <c r="K29" s="3">
        <v>65</v>
      </c>
      <c r="L29">
        <v>65.099999999999994</v>
      </c>
    </row>
    <row r="30" spans="1:15">
      <c r="A30" t="s">
        <v>43</v>
      </c>
      <c r="B30" t="s">
        <v>44</v>
      </c>
      <c r="C30" t="s">
        <v>67</v>
      </c>
      <c r="D30" s="4">
        <v>29</v>
      </c>
      <c r="E30">
        <v>15</v>
      </c>
      <c r="F30">
        <v>70</v>
      </c>
      <c r="G30">
        <v>25.36</v>
      </c>
      <c r="H30" s="3">
        <v>11.5</v>
      </c>
      <c r="I30">
        <v>16.760000000000002</v>
      </c>
      <c r="J30" s="3">
        <v>14.07</v>
      </c>
      <c r="K30" s="3">
        <v>68.900000000000006</v>
      </c>
      <c r="L30">
        <v>65.099999999999994</v>
      </c>
    </row>
    <row r="31" spans="1:15">
      <c r="A31" t="s">
        <v>85</v>
      </c>
      <c r="B31" t="s">
        <v>86</v>
      </c>
      <c r="C31" t="s">
        <v>44</v>
      </c>
      <c r="D31" s="4">
        <v>-8</v>
      </c>
      <c r="E31">
        <v>17</v>
      </c>
      <c r="F31">
        <v>15</v>
      </c>
      <c r="G31">
        <v>24.32</v>
      </c>
      <c r="H31" s="3">
        <v>25.36</v>
      </c>
      <c r="I31">
        <v>17.14</v>
      </c>
      <c r="J31" s="3">
        <v>16.760000000000002</v>
      </c>
      <c r="K31" s="3">
        <v>65.099999999999994</v>
      </c>
      <c r="L31">
        <v>71.5</v>
      </c>
    </row>
    <row r="32" spans="1:15">
      <c r="A32" t="s">
        <v>104</v>
      </c>
      <c r="B32" t="s">
        <v>75</v>
      </c>
      <c r="C32" t="s">
        <v>114</v>
      </c>
      <c r="D32" s="4">
        <v>16</v>
      </c>
      <c r="E32">
        <v>45</v>
      </c>
      <c r="F32">
        <v>69</v>
      </c>
      <c r="G32">
        <v>16.98</v>
      </c>
      <c r="H32" s="3">
        <v>11.51</v>
      </c>
      <c r="I32">
        <v>14.13</v>
      </c>
      <c r="J32" s="3">
        <v>14.55</v>
      </c>
      <c r="K32" s="3">
        <v>65.5</v>
      </c>
      <c r="L32">
        <v>68.2</v>
      </c>
    </row>
    <row r="33" spans="1:15" hidden="1">
      <c r="A33" s="6" t="s">
        <v>104</v>
      </c>
      <c r="B33" s="6" t="s">
        <v>75</v>
      </c>
      <c r="C33" s="6" t="s">
        <v>115</v>
      </c>
      <c r="D33" s="5">
        <v>11</v>
      </c>
      <c r="E33" s="6">
        <v>45</v>
      </c>
      <c r="F33">
        <v>143</v>
      </c>
      <c r="G33" s="6">
        <v>16.98</v>
      </c>
      <c r="H33" s="7">
        <v>184</v>
      </c>
      <c r="I33" s="6">
        <v>14.13</v>
      </c>
      <c r="J33" s="7">
        <v>-2.2799999999999998</v>
      </c>
      <c r="K33" s="7">
        <v>64</v>
      </c>
      <c r="L33" s="6">
        <v>68.2</v>
      </c>
    </row>
    <row r="34" spans="1:15">
      <c r="A34" t="s">
        <v>116</v>
      </c>
      <c r="B34" t="s">
        <v>117</v>
      </c>
      <c r="C34" t="s">
        <v>75</v>
      </c>
      <c r="D34" s="4">
        <v>28</v>
      </c>
      <c r="E34">
        <v>28</v>
      </c>
      <c r="F34">
        <v>45</v>
      </c>
      <c r="G34">
        <v>21.73</v>
      </c>
      <c r="H34" s="3">
        <v>16.98</v>
      </c>
      <c r="I34">
        <v>15.19</v>
      </c>
      <c r="J34" s="3">
        <v>14.13</v>
      </c>
      <c r="K34" s="3">
        <v>68.2</v>
      </c>
      <c r="L34">
        <v>69.099999999999994</v>
      </c>
    </row>
    <row r="35" spans="1:15" s="6" customFormat="1" hidden="1">
      <c r="A35" s="6" t="s">
        <v>116</v>
      </c>
      <c r="B35" s="6" t="s">
        <v>118</v>
      </c>
      <c r="C35" s="6" t="s">
        <v>75</v>
      </c>
      <c r="D35" s="5">
        <v>16</v>
      </c>
      <c r="E35" s="6">
        <v>8</v>
      </c>
      <c r="F35">
        <v>45</v>
      </c>
      <c r="G35" s="6">
        <v>28.01</v>
      </c>
      <c r="H35" s="7">
        <v>16.98</v>
      </c>
      <c r="I35" s="6">
        <v>8.09</v>
      </c>
      <c r="J35" s="7">
        <v>14.13</v>
      </c>
      <c r="K35" s="7">
        <v>68.2</v>
      </c>
      <c r="L35" s="6">
        <v>70.5</v>
      </c>
      <c r="O35" s="7"/>
    </row>
    <row r="36" spans="1:15">
      <c r="A36" t="s">
        <v>116</v>
      </c>
      <c r="B36" t="s">
        <v>119</v>
      </c>
      <c r="C36" t="s">
        <v>75</v>
      </c>
      <c r="D36" s="4">
        <v>-16</v>
      </c>
      <c r="E36">
        <v>96</v>
      </c>
      <c r="F36">
        <v>45</v>
      </c>
      <c r="G36">
        <v>6.93</v>
      </c>
      <c r="H36" s="3">
        <v>16.98</v>
      </c>
      <c r="I36">
        <v>9.6999999999999993</v>
      </c>
      <c r="J36" s="3">
        <v>14.13</v>
      </c>
      <c r="K36" s="3">
        <v>68.2</v>
      </c>
      <c r="L36">
        <v>66.5</v>
      </c>
    </row>
    <row r="37" spans="1:15" s="6" customFormat="1" hidden="1">
      <c r="A37" s="6" t="s">
        <v>104</v>
      </c>
      <c r="B37" s="6" t="s">
        <v>75</v>
      </c>
      <c r="C37" s="6" t="s">
        <v>120</v>
      </c>
      <c r="D37" s="5">
        <v>26</v>
      </c>
      <c r="E37" s="6">
        <v>45</v>
      </c>
      <c r="F37">
        <v>175</v>
      </c>
      <c r="G37" s="6">
        <v>16.98</v>
      </c>
      <c r="H37" s="7">
        <v>-1.05</v>
      </c>
      <c r="I37" s="6">
        <v>14.13</v>
      </c>
      <c r="J37" s="7">
        <v>4.0599999999999996</v>
      </c>
      <c r="K37" s="7">
        <v>67.8</v>
      </c>
      <c r="L37" s="6">
        <v>68.2</v>
      </c>
      <c r="O37" s="7"/>
    </row>
    <row r="38" spans="1:15">
      <c r="A38" t="s">
        <v>104</v>
      </c>
      <c r="B38" t="s">
        <v>75</v>
      </c>
      <c r="C38" t="s">
        <v>121</v>
      </c>
      <c r="D38" s="4">
        <v>19</v>
      </c>
      <c r="E38">
        <v>45</v>
      </c>
      <c r="F38">
        <v>146</v>
      </c>
      <c r="G38">
        <v>16.98</v>
      </c>
      <c r="H38" s="3">
        <v>1.0900000000000001</v>
      </c>
      <c r="I38">
        <v>14.13</v>
      </c>
      <c r="J38" s="3">
        <v>-5.38</v>
      </c>
      <c r="K38" s="3">
        <v>69.2</v>
      </c>
      <c r="L38">
        <v>68.2</v>
      </c>
    </row>
    <row r="39" spans="1:15" s="6" customFormat="1" hidden="1">
      <c r="A39" s="6" t="s">
        <v>104</v>
      </c>
      <c r="B39" s="6" t="s">
        <v>75</v>
      </c>
      <c r="C39" s="6" t="s">
        <v>64</v>
      </c>
      <c r="D39" s="5">
        <v>15</v>
      </c>
      <c r="E39" s="6">
        <v>45</v>
      </c>
      <c r="F39">
        <v>83</v>
      </c>
      <c r="G39" s="6">
        <v>16.98</v>
      </c>
      <c r="H39" s="7">
        <v>9.15</v>
      </c>
      <c r="I39" s="6">
        <v>14.13</v>
      </c>
      <c r="J39" s="7">
        <v>12.35</v>
      </c>
      <c r="K39" s="7">
        <v>62.9</v>
      </c>
      <c r="L39" s="6">
        <v>68.2</v>
      </c>
      <c r="O39" s="7"/>
    </row>
    <row r="40" spans="1:15">
      <c r="A40" t="s">
        <v>106</v>
      </c>
      <c r="B40" t="s">
        <v>68</v>
      </c>
      <c r="C40" t="s">
        <v>75</v>
      </c>
      <c r="D40" s="4">
        <v>17</v>
      </c>
      <c r="E40">
        <v>46</v>
      </c>
      <c r="F40">
        <v>45</v>
      </c>
      <c r="G40">
        <v>16.98</v>
      </c>
      <c r="H40" s="3">
        <v>16.98</v>
      </c>
      <c r="I40">
        <v>12.31</v>
      </c>
      <c r="J40" s="3">
        <v>14.13</v>
      </c>
      <c r="K40" s="3">
        <v>68.2</v>
      </c>
      <c r="L40">
        <v>67.8</v>
      </c>
    </row>
    <row r="41" spans="1:15" s="6" customFormat="1" hidden="1">
      <c r="A41" s="6" t="s">
        <v>104</v>
      </c>
      <c r="B41" s="6" t="s">
        <v>75</v>
      </c>
      <c r="C41" s="6" t="s">
        <v>122</v>
      </c>
      <c r="D41" s="5">
        <v>9</v>
      </c>
      <c r="E41" s="6">
        <v>45</v>
      </c>
      <c r="F41">
        <v>94</v>
      </c>
      <c r="G41" s="6">
        <v>16.98</v>
      </c>
      <c r="H41" s="7">
        <v>7.14</v>
      </c>
      <c r="I41" s="6">
        <v>14.13</v>
      </c>
      <c r="J41" s="7">
        <v>-0.88</v>
      </c>
      <c r="K41" s="7">
        <v>66.8</v>
      </c>
      <c r="L41" s="6">
        <v>68.2</v>
      </c>
      <c r="O41" s="7"/>
    </row>
    <row r="42" spans="1:15">
      <c r="A42" t="s">
        <v>104</v>
      </c>
      <c r="B42" t="s">
        <v>75</v>
      </c>
      <c r="C42" t="s">
        <v>123</v>
      </c>
      <c r="D42" s="4">
        <v>9</v>
      </c>
      <c r="E42">
        <v>45</v>
      </c>
      <c r="F42">
        <v>166</v>
      </c>
      <c r="G42">
        <v>16.98</v>
      </c>
      <c r="H42" s="3">
        <v>-0.13</v>
      </c>
      <c r="I42">
        <v>14.13</v>
      </c>
      <c r="J42" s="3">
        <v>-3.89</v>
      </c>
      <c r="K42" s="3">
        <v>72.900000000000006</v>
      </c>
      <c r="L42">
        <v>68.2</v>
      </c>
    </row>
    <row r="43" spans="1:15" s="6" customFormat="1" hidden="1">
      <c r="A43" s="6" t="s">
        <v>104</v>
      </c>
      <c r="B43" s="6" t="s">
        <v>75</v>
      </c>
      <c r="C43" s="6" t="s">
        <v>67</v>
      </c>
      <c r="D43" s="5">
        <v>10</v>
      </c>
      <c r="E43" s="6">
        <v>45</v>
      </c>
      <c r="F43">
        <v>70</v>
      </c>
      <c r="G43" s="6">
        <v>16.98</v>
      </c>
      <c r="H43" s="7">
        <v>11.5</v>
      </c>
      <c r="I43" s="6">
        <v>14.13</v>
      </c>
      <c r="J43" s="7">
        <v>14.07</v>
      </c>
      <c r="K43" s="7">
        <v>68.900000000000006</v>
      </c>
      <c r="L43" s="6">
        <v>68.2</v>
      </c>
      <c r="O43" s="7"/>
    </row>
    <row r="44" spans="1:15">
      <c r="A44" t="s">
        <v>124</v>
      </c>
      <c r="B44" s="2" t="s">
        <v>55</v>
      </c>
      <c r="C44" s="2" t="s">
        <v>75</v>
      </c>
      <c r="D44" s="4">
        <v>-6</v>
      </c>
      <c r="E44">
        <v>58</v>
      </c>
      <c r="F44">
        <v>45</v>
      </c>
      <c r="G44">
        <v>14.36</v>
      </c>
      <c r="H44" s="3">
        <v>16.98</v>
      </c>
      <c r="I44">
        <v>10.08</v>
      </c>
      <c r="J44" s="3">
        <v>14.13</v>
      </c>
      <c r="K44" s="3">
        <v>68.2</v>
      </c>
      <c r="L44">
        <v>70.099999999999994</v>
      </c>
    </row>
    <row r="45" spans="1:15" s="6" customFormat="1" hidden="1">
      <c r="A45" s="6" t="s">
        <v>104</v>
      </c>
      <c r="B45" s="8" t="s">
        <v>75</v>
      </c>
      <c r="C45" s="8" t="s">
        <v>125</v>
      </c>
      <c r="D45" s="5">
        <v>13</v>
      </c>
      <c r="E45" s="6">
        <v>45</v>
      </c>
      <c r="F45">
        <v>57</v>
      </c>
      <c r="G45" s="6">
        <v>16.98</v>
      </c>
      <c r="H45" s="7">
        <v>14.39</v>
      </c>
      <c r="I45" s="6">
        <v>14.13</v>
      </c>
      <c r="J45" s="7">
        <v>12.67</v>
      </c>
      <c r="K45" s="7">
        <v>68.599999999999994</v>
      </c>
      <c r="L45" s="6">
        <v>68.2</v>
      </c>
      <c r="O45" s="7"/>
    </row>
    <row r="46" spans="1:15">
      <c r="A46" t="s">
        <v>107</v>
      </c>
      <c r="B46" s="2" t="s">
        <v>77</v>
      </c>
      <c r="C46" s="2" t="s">
        <v>75</v>
      </c>
      <c r="D46" s="4">
        <v>25</v>
      </c>
      <c r="E46">
        <v>62</v>
      </c>
      <c r="F46">
        <v>45</v>
      </c>
      <c r="G46">
        <v>13.56</v>
      </c>
      <c r="H46" s="3">
        <v>16.98</v>
      </c>
      <c r="I46">
        <v>13.06</v>
      </c>
      <c r="J46" s="3">
        <v>14.13</v>
      </c>
      <c r="K46" s="3">
        <v>68.2</v>
      </c>
      <c r="L46">
        <v>69.8</v>
      </c>
    </row>
    <row r="47" spans="1:15">
      <c r="A47" t="s">
        <v>104</v>
      </c>
      <c r="B47" s="2" t="s">
        <v>75</v>
      </c>
      <c r="C47" s="2" t="s">
        <v>126</v>
      </c>
      <c r="D47" s="4">
        <v>-25</v>
      </c>
      <c r="E47">
        <v>45</v>
      </c>
      <c r="F47">
        <v>17</v>
      </c>
      <c r="G47">
        <v>16.98</v>
      </c>
      <c r="H47" s="3">
        <v>24.32</v>
      </c>
      <c r="I47">
        <v>14.13</v>
      </c>
      <c r="J47" s="3">
        <v>17.14</v>
      </c>
      <c r="K47" s="3">
        <v>71.5</v>
      </c>
      <c r="L47">
        <v>68.2</v>
      </c>
    </row>
    <row r="48" spans="1:15">
      <c r="A48" t="s">
        <v>108</v>
      </c>
      <c r="B48" s="2" t="s">
        <v>73</v>
      </c>
      <c r="C48" s="2" t="s">
        <v>75</v>
      </c>
      <c r="D48" s="4">
        <v>-1</v>
      </c>
      <c r="E48">
        <v>37</v>
      </c>
      <c r="F48">
        <v>45</v>
      </c>
      <c r="G48">
        <v>19.079999999999998</v>
      </c>
      <c r="H48" s="3">
        <v>16.98</v>
      </c>
      <c r="I48">
        <v>15.21</v>
      </c>
      <c r="J48" s="3">
        <v>14.13</v>
      </c>
      <c r="K48" s="3">
        <v>68.2</v>
      </c>
      <c r="L48">
        <v>67.3</v>
      </c>
    </row>
    <row r="49" spans="1:15">
      <c r="A49" t="s">
        <v>109</v>
      </c>
      <c r="B49" t="s">
        <v>65</v>
      </c>
      <c r="C49" t="s">
        <v>75</v>
      </c>
      <c r="D49" s="4">
        <v>9</v>
      </c>
      <c r="E49">
        <v>44</v>
      </c>
      <c r="F49">
        <v>45</v>
      </c>
      <c r="G49">
        <v>17.02</v>
      </c>
      <c r="H49" s="3">
        <v>16.98</v>
      </c>
      <c r="I49">
        <v>13.07</v>
      </c>
      <c r="J49" s="3">
        <v>14.13</v>
      </c>
      <c r="K49" s="3">
        <v>68.2</v>
      </c>
      <c r="L49">
        <v>65.2</v>
      </c>
    </row>
    <row r="50" spans="1:15">
      <c r="A50" t="s">
        <v>104</v>
      </c>
      <c r="B50" t="s">
        <v>75</v>
      </c>
      <c r="C50" t="s">
        <v>56</v>
      </c>
      <c r="D50" s="4">
        <v>-1</v>
      </c>
      <c r="E50">
        <v>45</v>
      </c>
      <c r="F50">
        <v>10</v>
      </c>
      <c r="G50">
        <v>16.98</v>
      </c>
      <c r="H50" s="3">
        <v>27.07</v>
      </c>
      <c r="I50">
        <v>14.13</v>
      </c>
      <c r="J50" s="3">
        <v>12.51</v>
      </c>
      <c r="K50" s="3">
        <v>69.599999999999994</v>
      </c>
      <c r="L50">
        <v>68.2</v>
      </c>
    </row>
    <row r="51" spans="1:15">
      <c r="A51" t="s">
        <v>87</v>
      </c>
      <c r="B51" t="s">
        <v>127</v>
      </c>
      <c r="C51" t="s">
        <v>75</v>
      </c>
      <c r="D51" s="4">
        <v>5</v>
      </c>
      <c r="E51">
        <v>15</v>
      </c>
      <c r="F51">
        <v>45</v>
      </c>
      <c r="G51">
        <v>25.36</v>
      </c>
      <c r="H51" s="3">
        <v>16.98</v>
      </c>
      <c r="I51">
        <v>16.760000000000002</v>
      </c>
      <c r="J51" s="3">
        <v>14.13</v>
      </c>
      <c r="K51" s="3">
        <v>68.2</v>
      </c>
      <c r="L51">
        <v>65.099999999999994</v>
      </c>
    </row>
    <row r="52" spans="1:15">
      <c r="A52" t="s">
        <v>128</v>
      </c>
      <c r="B52" t="s">
        <v>80</v>
      </c>
      <c r="C52" t="s">
        <v>75</v>
      </c>
      <c r="D52" s="4">
        <v>12</v>
      </c>
      <c r="E52">
        <v>12</v>
      </c>
      <c r="F52">
        <v>45</v>
      </c>
      <c r="G52">
        <v>26.57</v>
      </c>
      <c r="H52" s="3">
        <v>16.98</v>
      </c>
      <c r="I52">
        <v>14.53</v>
      </c>
      <c r="J52" s="3">
        <v>14.13</v>
      </c>
      <c r="K52" s="3">
        <v>68.2</v>
      </c>
      <c r="L52">
        <v>68</v>
      </c>
    </row>
    <row r="53" spans="1:15">
      <c r="A53" t="s">
        <v>104</v>
      </c>
      <c r="B53" t="s">
        <v>75</v>
      </c>
      <c r="C53" t="s">
        <v>129</v>
      </c>
      <c r="D53" s="4">
        <v>-3</v>
      </c>
      <c r="E53">
        <v>45</v>
      </c>
      <c r="F53">
        <v>21</v>
      </c>
      <c r="G53">
        <v>16.98</v>
      </c>
      <c r="H53" s="3">
        <v>23.45</v>
      </c>
      <c r="I53">
        <v>14.13</v>
      </c>
      <c r="J53" s="3">
        <v>16.57</v>
      </c>
      <c r="K53" s="3">
        <v>70.099999999999994</v>
      </c>
      <c r="L53">
        <v>68.2</v>
      </c>
    </row>
    <row r="54" spans="1:15">
      <c r="A54" t="s">
        <v>130</v>
      </c>
      <c r="B54" t="s">
        <v>82</v>
      </c>
      <c r="C54" t="s">
        <v>75</v>
      </c>
      <c r="D54" s="4">
        <v>-4</v>
      </c>
      <c r="E54">
        <v>7</v>
      </c>
      <c r="F54">
        <v>45</v>
      </c>
      <c r="G54">
        <v>28.48</v>
      </c>
      <c r="H54" s="3">
        <v>16.98</v>
      </c>
      <c r="I54">
        <v>14.72</v>
      </c>
      <c r="J54" s="3">
        <v>14.13</v>
      </c>
      <c r="K54" s="3">
        <v>68.2</v>
      </c>
      <c r="L54">
        <v>67.5</v>
      </c>
    </row>
    <row r="55" spans="1:15">
      <c r="A55" t="s">
        <v>104</v>
      </c>
      <c r="B55" t="s">
        <v>75</v>
      </c>
      <c r="C55" t="s">
        <v>84</v>
      </c>
      <c r="D55" s="4">
        <v>-4</v>
      </c>
      <c r="E55">
        <v>45</v>
      </c>
      <c r="F55">
        <v>20</v>
      </c>
      <c r="G55">
        <v>16.98</v>
      </c>
      <c r="H55" s="3">
        <v>23.46</v>
      </c>
      <c r="I55">
        <v>14.13</v>
      </c>
      <c r="J55" s="3">
        <v>14.09</v>
      </c>
      <c r="K55" s="3">
        <v>65</v>
      </c>
      <c r="L55">
        <v>68.2</v>
      </c>
    </row>
    <row r="56" spans="1:15">
      <c r="A56" t="s">
        <v>104</v>
      </c>
      <c r="B56" t="s">
        <v>75</v>
      </c>
      <c r="C56" t="s">
        <v>44</v>
      </c>
      <c r="D56" s="4">
        <v>15</v>
      </c>
      <c r="E56">
        <v>45</v>
      </c>
      <c r="F56">
        <v>15</v>
      </c>
      <c r="G56">
        <v>16.98</v>
      </c>
      <c r="H56" s="3">
        <v>25.36</v>
      </c>
      <c r="I56">
        <v>14.13</v>
      </c>
      <c r="J56" s="3">
        <v>16.760000000000002</v>
      </c>
      <c r="K56" s="3">
        <v>65.099999999999994</v>
      </c>
      <c r="L56">
        <v>68.2</v>
      </c>
    </row>
    <row r="57" spans="1:15">
      <c r="A57" t="s">
        <v>104</v>
      </c>
      <c r="B57" t="s">
        <v>75</v>
      </c>
      <c r="C57" t="s">
        <v>55</v>
      </c>
      <c r="D57" s="4">
        <v>5</v>
      </c>
      <c r="E57">
        <v>45</v>
      </c>
      <c r="F57">
        <v>58</v>
      </c>
      <c r="G57">
        <v>16.98</v>
      </c>
      <c r="H57" s="3">
        <v>14.36</v>
      </c>
      <c r="I57">
        <v>14.13</v>
      </c>
      <c r="J57" s="3">
        <v>10.08</v>
      </c>
      <c r="K57" s="3">
        <v>70.099999999999994</v>
      </c>
      <c r="L57">
        <v>68.2</v>
      </c>
    </row>
    <row r="58" spans="1:15">
      <c r="A58" t="s">
        <v>131</v>
      </c>
      <c r="B58" t="s">
        <v>70</v>
      </c>
      <c r="C58" t="s">
        <v>75</v>
      </c>
      <c r="D58" s="4">
        <v>-16</v>
      </c>
      <c r="E58">
        <v>104</v>
      </c>
      <c r="F58">
        <v>45</v>
      </c>
      <c r="G58">
        <v>5.79</v>
      </c>
      <c r="H58" s="3">
        <v>16.98</v>
      </c>
      <c r="I58">
        <v>13.62</v>
      </c>
      <c r="J58" s="3">
        <v>14.13</v>
      </c>
      <c r="K58" s="3">
        <v>68.2</v>
      </c>
      <c r="L58">
        <v>67.900000000000006</v>
      </c>
    </row>
    <row r="59" spans="1:15">
      <c r="A59" t="s">
        <v>132</v>
      </c>
      <c r="B59" t="s">
        <v>72</v>
      </c>
      <c r="C59" t="s">
        <v>75</v>
      </c>
      <c r="D59" s="4">
        <v>9</v>
      </c>
      <c r="E59">
        <v>27</v>
      </c>
      <c r="F59">
        <v>45</v>
      </c>
      <c r="G59">
        <v>21.85</v>
      </c>
      <c r="H59" s="3">
        <v>16.98</v>
      </c>
      <c r="I59">
        <v>15.19</v>
      </c>
      <c r="J59" s="3">
        <v>14.13</v>
      </c>
      <c r="K59" s="3">
        <v>68.2</v>
      </c>
      <c r="L59">
        <v>68.099999999999994</v>
      </c>
    </row>
    <row r="60" spans="1:15">
      <c r="A60" t="s">
        <v>104</v>
      </c>
      <c r="B60" t="s">
        <v>75</v>
      </c>
      <c r="C60" t="s">
        <v>73</v>
      </c>
      <c r="D60" s="4">
        <v>6</v>
      </c>
      <c r="E60">
        <v>45</v>
      </c>
      <c r="F60">
        <v>37</v>
      </c>
      <c r="G60">
        <v>16.98</v>
      </c>
      <c r="H60" s="3">
        <v>19.079999999999998</v>
      </c>
      <c r="I60">
        <v>14.13</v>
      </c>
      <c r="J60" s="3">
        <v>15.21</v>
      </c>
      <c r="K60" s="3">
        <v>67.3</v>
      </c>
      <c r="L60">
        <v>68.2</v>
      </c>
    </row>
    <row r="61" spans="1:15">
      <c r="A61" t="s">
        <v>133</v>
      </c>
      <c r="B61" t="s">
        <v>72</v>
      </c>
      <c r="C61" t="s">
        <v>75</v>
      </c>
      <c r="D61" s="4">
        <v>13</v>
      </c>
      <c r="E61">
        <v>27</v>
      </c>
      <c r="F61">
        <v>45</v>
      </c>
      <c r="G61">
        <v>21.85</v>
      </c>
      <c r="H61" s="3">
        <v>16.98</v>
      </c>
      <c r="I61">
        <v>15.19</v>
      </c>
      <c r="J61" s="3">
        <v>14.13</v>
      </c>
      <c r="K61" s="3">
        <v>68.2</v>
      </c>
      <c r="L61">
        <v>68.099999999999994</v>
      </c>
    </row>
    <row r="62" spans="1:15">
      <c r="A62" t="s">
        <v>89</v>
      </c>
      <c r="B62" t="s">
        <v>44</v>
      </c>
      <c r="C62" t="s">
        <v>90</v>
      </c>
      <c r="D62" s="4">
        <v>10</v>
      </c>
      <c r="E62">
        <v>2</v>
      </c>
      <c r="F62">
        <v>144</v>
      </c>
      <c r="G62">
        <v>32.71</v>
      </c>
      <c r="H62" s="3">
        <v>1.81</v>
      </c>
      <c r="I62">
        <v>5.9</v>
      </c>
      <c r="J62" s="3">
        <v>13.8</v>
      </c>
      <c r="K62" s="3">
        <v>71</v>
      </c>
      <c r="L62">
        <v>66.099999999999994</v>
      </c>
    </row>
    <row r="63" spans="1:15" s="6" customFormat="1" hidden="1">
      <c r="A63" s="6" t="s">
        <v>89</v>
      </c>
      <c r="B63" s="6" t="s">
        <v>44</v>
      </c>
      <c r="C63" s="6" t="s">
        <v>90</v>
      </c>
      <c r="D63" s="5">
        <v>10</v>
      </c>
      <c r="E63" s="6">
        <v>2</v>
      </c>
      <c r="F63" s="6">
        <v>144</v>
      </c>
      <c r="G63" s="6">
        <v>32.71</v>
      </c>
      <c r="H63" s="7">
        <v>1.81</v>
      </c>
      <c r="I63" s="6">
        <v>5.9</v>
      </c>
      <c r="J63" s="7">
        <v>13.8</v>
      </c>
      <c r="K63" s="7">
        <v>71</v>
      </c>
      <c r="L63" s="6">
        <v>66.099999999999994</v>
      </c>
      <c r="O63" s="7"/>
    </row>
    <row r="64" spans="1:15">
      <c r="A64" t="s">
        <v>91</v>
      </c>
      <c r="B64" t="s">
        <v>47</v>
      </c>
      <c r="C64" t="s">
        <v>44</v>
      </c>
      <c r="D64" s="4">
        <v>-7</v>
      </c>
      <c r="E64">
        <v>12</v>
      </c>
      <c r="F64">
        <v>2</v>
      </c>
      <c r="G64">
        <v>26.56</v>
      </c>
      <c r="H64" s="3">
        <v>32.71</v>
      </c>
      <c r="I64">
        <v>17.989999999999998</v>
      </c>
      <c r="J64" s="3">
        <v>5.9</v>
      </c>
      <c r="K64" s="3">
        <v>66.099999999999994</v>
      </c>
      <c r="L64">
        <v>74.099999999999994</v>
      </c>
    </row>
    <row r="65" spans="1:15" s="6" customFormat="1" hidden="1">
      <c r="A65" s="6" t="s">
        <v>91</v>
      </c>
      <c r="B65" s="6" t="s">
        <v>47</v>
      </c>
      <c r="C65" s="6" t="s">
        <v>44</v>
      </c>
      <c r="D65" s="5">
        <v>-7</v>
      </c>
      <c r="E65" s="6">
        <v>12</v>
      </c>
      <c r="F65" s="6">
        <v>2</v>
      </c>
      <c r="G65" s="6">
        <v>26.56</v>
      </c>
      <c r="H65" s="7">
        <v>32.71</v>
      </c>
      <c r="I65" s="6">
        <v>17.989999999999998</v>
      </c>
      <c r="J65" s="7">
        <v>5.9</v>
      </c>
      <c r="K65" s="7">
        <v>66.099999999999994</v>
      </c>
      <c r="L65" s="6">
        <v>74.099999999999994</v>
      </c>
      <c r="O65" s="7"/>
    </row>
    <row r="66" spans="1:15">
      <c r="A66" t="s">
        <v>89</v>
      </c>
      <c r="B66" t="s">
        <v>44</v>
      </c>
      <c r="C66" t="s">
        <v>92</v>
      </c>
      <c r="D66" s="4">
        <v>18</v>
      </c>
      <c r="E66">
        <v>2</v>
      </c>
      <c r="F66">
        <v>57</v>
      </c>
      <c r="G66">
        <v>32.71</v>
      </c>
      <c r="H66" s="3">
        <v>14.23</v>
      </c>
      <c r="I66">
        <v>5.9</v>
      </c>
      <c r="J66" s="3">
        <v>-4.1399999999999997</v>
      </c>
      <c r="K66" s="3">
        <v>71.7</v>
      </c>
      <c r="L66">
        <v>66.099999999999994</v>
      </c>
    </row>
    <row r="67" spans="1:15" s="6" customFormat="1" hidden="1">
      <c r="A67" s="6" t="s">
        <v>89</v>
      </c>
      <c r="B67" s="6" t="s">
        <v>44</v>
      </c>
      <c r="C67" s="6" t="s">
        <v>92</v>
      </c>
      <c r="D67" s="5">
        <v>18</v>
      </c>
      <c r="E67" s="6">
        <v>2</v>
      </c>
      <c r="F67" s="6">
        <v>57</v>
      </c>
      <c r="G67" s="6">
        <v>32.71</v>
      </c>
      <c r="H67" s="7">
        <v>14.23</v>
      </c>
      <c r="I67" s="6">
        <v>5.9</v>
      </c>
      <c r="J67" s="7">
        <v>-4.1399999999999997</v>
      </c>
      <c r="K67" s="7">
        <v>71.7</v>
      </c>
      <c r="L67" s="6">
        <v>66.099999999999994</v>
      </c>
      <c r="O67" s="7"/>
    </row>
    <row r="68" spans="1:15">
      <c r="A68" t="s">
        <v>93</v>
      </c>
      <c r="B68" t="s">
        <v>94</v>
      </c>
      <c r="C68" t="s">
        <v>44</v>
      </c>
      <c r="D68" s="4">
        <v>-9</v>
      </c>
      <c r="E68">
        <v>73</v>
      </c>
      <c r="F68">
        <v>2</v>
      </c>
      <c r="G68">
        <v>11.91</v>
      </c>
      <c r="H68" s="3">
        <v>32.71</v>
      </c>
      <c r="I68">
        <v>7.27</v>
      </c>
      <c r="J68" s="3">
        <v>5.9</v>
      </c>
      <c r="K68" s="3">
        <v>66.099999999999994</v>
      </c>
      <c r="L68">
        <v>69.900000000000006</v>
      </c>
    </row>
    <row r="69" spans="1:15" s="6" customFormat="1" hidden="1">
      <c r="A69" s="6" t="s">
        <v>93</v>
      </c>
      <c r="B69" s="6" t="s">
        <v>94</v>
      </c>
      <c r="C69" s="6" t="s">
        <v>44</v>
      </c>
      <c r="D69" s="5">
        <v>-9</v>
      </c>
      <c r="E69" s="6">
        <v>73</v>
      </c>
      <c r="F69" s="6">
        <v>2</v>
      </c>
      <c r="G69" s="6">
        <v>11.91</v>
      </c>
      <c r="H69" s="7">
        <v>32.71</v>
      </c>
      <c r="I69" s="6">
        <v>7.27</v>
      </c>
      <c r="J69" s="7">
        <v>5.9</v>
      </c>
      <c r="K69" s="7">
        <v>66.099999999999994</v>
      </c>
      <c r="L69" s="6">
        <v>69.900000000000006</v>
      </c>
      <c r="O69" s="7"/>
    </row>
    <row r="70" spans="1:15">
      <c r="A70" t="s">
        <v>93</v>
      </c>
      <c r="B70" t="s">
        <v>95</v>
      </c>
      <c r="C70" t="s">
        <v>44</v>
      </c>
      <c r="D70" s="4">
        <v>-30</v>
      </c>
      <c r="E70">
        <v>30</v>
      </c>
      <c r="F70">
        <v>2</v>
      </c>
      <c r="G70">
        <v>19.82</v>
      </c>
      <c r="H70" s="3">
        <v>32.71</v>
      </c>
      <c r="I70">
        <v>4.2699999999999996</v>
      </c>
      <c r="J70" s="3">
        <v>5.9</v>
      </c>
      <c r="K70" s="3">
        <v>66.099999999999994</v>
      </c>
      <c r="L70">
        <v>67.400000000000006</v>
      </c>
    </row>
    <row r="71" spans="1:15" s="6" customFormat="1" hidden="1">
      <c r="A71" s="7" t="s">
        <v>93</v>
      </c>
      <c r="B71" s="6" t="s">
        <v>95</v>
      </c>
      <c r="C71" s="6" t="s">
        <v>44</v>
      </c>
      <c r="D71" s="5">
        <v>-30</v>
      </c>
      <c r="E71" s="6">
        <v>30</v>
      </c>
      <c r="F71" s="6">
        <v>2</v>
      </c>
      <c r="G71" s="6">
        <v>19.82</v>
      </c>
      <c r="H71" s="7">
        <v>32.71</v>
      </c>
      <c r="I71" s="6">
        <v>4.2699999999999996</v>
      </c>
      <c r="J71" s="7">
        <v>5.9</v>
      </c>
      <c r="K71" s="7">
        <v>66.099999999999994</v>
      </c>
      <c r="L71" s="6">
        <v>67.400000000000006</v>
      </c>
      <c r="O71" s="7"/>
    </row>
    <row r="72" spans="1:15">
      <c r="A72" t="s">
        <v>97</v>
      </c>
      <c r="B72" t="s">
        <v>67</v>
      </c>
      <c r="C72" t="s">
        <v>44</v>
      </c>
      <c r="D72" s="4">
        <v>-16</v>
      </c>
      <c r="E72">
        <v>125</v>
      </c>
      <c r="F72">
        <v>2</v>
      </c>
      <c r="G72">
        <v>3.91</v>
      </c>
      <c r="H72" s="3">
        <v>32.71</v>
      </c>
      <c r="I72">
        <v>-2.29</v>
      </c>
      <c r="J72" s="3">
        <v>5.9</v>
      </c>
      <c r="K72" s="3">
        <v>66.099999999999994</v>
      </c>
      <c r="L72">
        <v>66.400000000000006</v>
      </c>
    </row>
    <row r="73" spans="1:15" s="6" customFormat="1" hidden="1">
      <c r="A73" s="6" t="s">
        <v>97</v>
      </c>
      <c r="B73" s="6" t="s">
        <v>67</v>
      </c>
      <c r="C73" s="6" t="s">
        <v>44</v>
      </c>
      <c r="D73" s="5">
        <v>-16</v>
      </c>
      <c r="E73" s="6">
        <v>125</v>
      </c>
      <c r="F73" s="6">
        <v>2</v>
      </c>
      <c r="G73" s="6">
        <v>3.91</v>
      </c>
      <c r="H73" s="7">
        <v>32.71</v>
      </c>
      <c r="I73" s="6">
        <v>-2.29</v>
      </c>
      <c r="J73" s="7">
        <v>5.9</v>
      </c>
      <c r="K73" s="7">
        <v>66.099999999999994</v>
      </c>
      <c r="L73" s="6">
        <v>66.400000000000006</v>
      </c>
      <c r="O73" s="7"/>
    </row>
    <row r="74" spans="1:15">
      <c r="A74" t="s">
        <v>87</v>
      </c>
      <c r="B74" t="s">
        <v>44</v>
      </c>
      <c r="C74" t="s">
        <v>98</v>
      </c>
      <c r="D74" s="4">
        <v>-23</v>
      </c>
      <c r="E74">
        <v>2</v>
      </c>
      <c r="F74">
        <v>5</v>
      </c>
      <c r="G74">
        <v>32.71</v>
      </c>
      <c r="H74" s="3">
        <v>30.33</v>
      </c>
      <c r="I74">
        <v>5.9</v>
      </c>
      <c r="J74" s="3">
        <v>-2.4500000000000002</v>
      </c>
      <c r="K74" s="3">
        <v>70.2</v>
      </c>
      <c r="L74">
        <v>66.099999999999994</v>
      </c>
    </row>
    <row r="75" spans="1:15" s="6" customFormat="1" hidden="1">
      <c r="A75" s="6" t="s">
        <v>87</v>
      </c>
      <c r="B75" s="6" t="s">
        <v>44</v>
      </c>
      <c r="C75" s="6" t="s">
        <v>98</v>
      </c>
      <c r="D75" s="5">
        <v>-23</v>
      </c>
      <c r="E75" s="6">
        <v>2</v>
      </c>
      <c r="F75" s="6">
        <v>5</v>
      </c>
      <c r="G75" s="6">
        <v>32.71</v>
      </c>
      <c r="H75" s="7">
        <v>30.33</v>
      </c>
      <c r="I75" s="6">
        <v>5.9</v>
      </c>
      <c r="J75" s="7">
        <v>-2.4500000000000002</v>
      </c>
      <c r="K75" s="7">
        <v>70.2</v>
      </c>
      <c r="L75" s="6">
        <v>66.099999999999994</v>
      </c>
      <c r="O75" s="7"/>
    </row>
    <row r="76" spans="1:15">
      <c r="A76" t="s">
        <v>134</v>
      </c>
      <c r="B76" t="s">
        <v>75</v>
      </c>
      <c r="C76" t="s">
        <v>135</v>
      </c>
      <c r="D76" s="4">
        <v>47</v>
      </c>
      <c r="E76">
        <v>28</v>
      </c>
      <c r="F76">
        <v>260</v>
      </c>
      <c r="G76">
        <v>20.010000000000002</v>
      </c>
      <c r="H76" s="3">
        <v>-8.09</v>
      </c>
      <c r="I76">
        <v>-1.1499999999999999</v>
      </c>
      <c r="J76" s="3">
        <v>-0.11</v>
      </c>
      <c r="K76" s="3">
        <v>66.5</v>
      </c>
      <c r="L76">
        <v>69</v>
      </c>
    </row>
    <row r="77" spans="1:15" hidden="1">
      <c r="A77" s="6" t="s">
        <v>134</v>
      </c>
      <c r="B77" s="6" t="s">
        <v>75</v>
      </c>
      <c r="C77" s="6" t="s">
        <v>135</v>
      </c>
      <c r="D77" s="5">
        <v>47</v>
      </c>
      <c r="E77" s="6">
        <v>28</v>
      </c>
      <c r="F77" s="6">
        <v>260</v>
      </c>
      <c r="G77" s="6">
        <v>20.010000000000002</v>
      </c>
      <c r="H77" s="7">
        <v>-8.09</v>
      </c>
      <c r="I77" s="6">
        <v>-1.1499999999999999</v>
      </c>
      <c r="J77" s="7">
        <v>-0.11</v>
      </c>
      <c r="K77" s="7">
        <v>66.5</v>
      </c>
      <c r="L77" s="6">
        <v>69</v>
      </c>
    </row>
    <row r="78" spans="1:15">
      <c r="A78" t="s">
        <v>136</v>
      </c>
      <c r="B78" t="s">
        <v>75</v>
      </c>
      <c r="C78" t="s">
        <v>49</v>
      </c>
      <c r="D78" s="4">
        <v>23</v>
      </c>
      <c r="E78">
        <v>28</v>
      </c>
      <c r="F78">
        <v>93</v>
      </c>
      <c r="G78">
        <v>20.010000000000002</v>
      </c>
      <c r="H78" s="3">
        <v>8.11</v>
      </c>
      <c r="I78">
        <v>-1.1499999999999999</v>
      </c>
      <c r="J78" s="3">
        <v>-0.54</v>
      </c>
      <c r="K78" s="3">
        <v>71</v>
      </c>
      <c r="L78">
        <v>69</v>
      </c>
    </row>
    <row r="79" spans="1:15" hidden="1">
      <c r="A79" s="6" t="s">
        <v>136</v>
      </c>
      <c r="B79" s="6" t="s">
        <v>75</v>
      </c>
      <c r="C79" s="6" t="s">
        <v>49</v>
      </c>
      <c r="D79" s="5">
        <v>23</v>
      </c>
      <c r="E79" s="6">
        <v>28</v>
      </c>
      <c r="F79" s="6">
        <v>93</v>
      </c>
      <c r="G79" s="6">
        <v>20.010000000000002</v>
      </c>
      <c r="H79" s="7">
        <v>8.11</v>
      </c>
      <c r="I79" s="6">
        <v>-1.1499999999999999</v>
      </c>
      <c r="J79" s="7">
        <v>-0.54</v>
      </c>
      <c r="K79" s="7">
        <v>71</v>
      </c>
      <c r="L79" s="6">
        <v>69</v>
      </c>
    </row>
    <row r="80" spans="1:15">
      <c r="A80" t="s">
        <v>134</v>
      </c>
      <c r="B80" t="s">
        <v>75</v>
      </c>
      <c r="C80" t="s">
        <v>137</v>
      </c>
      <c r="D80" s="4">
        <v>31</v>
      </c>
      <c r="E80">
        <v>28</v>
      </c>
      <c r="F80">
        <v>231</v>
      </c>
      <c r="G80">
        <v>20.010000000000002</v>
      </c>
      <c r="H80" s="3">
        <v>-5.94</v>
      </c>
      <c r="I80">
        <v>-1.1499999999999999</v>
      </c>
      <c r="J80" s="3">
        <v>5.93</v>
      </c>
      <c r="K80" s="3">
        <v>70.900000000000006</v>
      </c>
      <c r="L80">
        <v>69</v>
      </c>
    </row>
    <row r="81" spans="1:12" hidden="1">
      <c r="A81" s="6" t="s">
        <v>134</v>
      </c>
      <c r="B81" s="6" t="s">
        <v>75</v>
      </c>
      <c r="C81" s="6" t="s">
        <v>137</v>
      </c>
      <c r="D81" s="5">
        <v>31</v>
      </c>
      <c r="E81" s="6">
        <v>28</v>
      </c>
      <c r="F81" s="6">
        <v>231</v>
      </c>
      <c r="G81" s="6">
        <v>20.010000000000002</v>
      </c>
      <c r="H81" s="7">
        <v>-5.94</v>
      </c>
      <c r="I81" s="6">
        <v>-1.1499999999999999</v>
      </c>
      <c r="J81" s="7">
        <v>5.93</v>
      </c>
      <c r="K81" s="7">
        <v>70.900000000000006</v>
      </c>
      <c r="L81" s="6">
        <v>69</v>
      </c>
    </row>
    <row r="82" spans="1:12">
      <c r="A82" t="s">
        <v>134</v>
      </c>
      <c r="B82" t="s">
        <v>75</v>
      </c>
      <c r="C82" t="s">
        <v>138</v>
      </c>
      <c r="D82" s="4">
        <v>8</v>
      </c>
      <c r="E82">
        <v>28</v>
      </c>
      <c r="F82">
        <v>194</v>
      </c>
      <c r="G82">
        <v>20.010000000000002</v>
      </c>
      <c r="H82" s="3">
        <v>-3.14</v>
      </c>
      <c r="I82">
        <v>-1.1499999999999999</v>
      </c>
      <c r="J82" s="3">
        <v>7.24</v>
      </c>
      <c r="K82" s="3">
        <v>66.2</v>
      </c>
      <c r="L82">
        <v>69</v>
      </c>
    </row>
    <row r="83" spans="1:12" hidden="1">
      <c r="A83" s="6" t="s">
        <v>134</v>
      </c>
      <c r="B83" s="6" t="s">
        <v>75</v>
      </c>
      <c r="C83" s="6" t="s">
        <v>138</v>
      </c>
      <c r="D83" s="5">
        <v>8</v>
      </c>
      <c r="E83" s="6">
        <v>28</v>
      </c>
      <c r="F83" s="6">
        <v>194</v>
      </c>
      <c r="G83" s="6">
        <v>20.010000000000002</v>
      </c>
      <c r="H83" s="7">
        <v>-3.14</v>
      </c>
      <c r="I83" s="6">
        <v>-1.1499999999999999</v>
      </c>
      <c r="J83" s="7">
        <v>7.24</v>
      </c>
      <c r="K83" s="7">
        <v>66.2</v>
      </c>
      <c r="L83" s="6">
        <v>69</v>
      </c>
    </row>
    <row r="84" spans="1:12">
      <c r="A84" t="s">
        <v>134</v>
      </c>
      <c r="B84" t="s">
        <v>75</v>
      </c>
      <c r="C84" t="s">
        <v>139</v>
      </c>
      <c r="D84" s="4">
        <v>20</v>
      </c>
      <c r="E84">
        <v>28</v>
      </c>
      <c r="F84">
        <v>248</v>
      </c>
      <c r="G84">
        <v>20.010000000000002</v>
      </c>
      <c r="H84" s="3">
        <v>-7.23</v>
      </c>
      <c r="I84">
        <v>-1.1499999999999999</v>
      </c>
      <c r="J84" s="3">
        <v>0.38</v>
      </c>
      <c r="K84" s="3">
        <v>72.3</v>
      </c>
      <c r="L84">
        <v>69</v>
      </c>
    </row>
    <row r="85" spans="1:12" hidden="1">
      <c r="A85" s="6" t="s">
        <v>134</v>
      </c>
      <c r="B85" s="6" t="s">
        <v>75</v>
      </c>
      <c r="C85" s="6" t="s">
        <v>139</v>
      </c>
      <c r="D85" s="5">
        <v>20</v>
      </c>
      <c r="E85" s="6">
        <v>28</v>
      </c>
      <c r="F85" s="6">
        <v>248</v>
      </c>
      <c r="G85" s="6">
        <v>20.010000000000002</v>
      </c>
      <c r="H85" s="7">
        <v>-7.23</v>
      </c>
      <c r="I85" s="6">
        <v>-1.1499999999999999</v>
      </c>
      <c r="J85" s="7">
        <v>0.38</v>
      </c>
      <c r="K85" s="7">
        <v>72.3</v>
      </c>
      <c r="L85" s="6">
        <v>69</v>
      </c>
    </row>
    <row r="86" spans="1:12">
      <c r="A86" t="s">
        <v>134</v>
      </c>
      <c r="B86" t="s">
        <v>75</v>
      </c>
      <c r="C86" t="s">
        <v>140</v>
      </c>
      <c r="D86" s="4">
        <v>17</v>
      </c>
      <c r="E86">
        <v>28</v>
      </c>
      <c r="F86">
        <v>82</v>
      </c>
      <c r="G86">
        <v>20.010000000000002</v>
      </c>
      <c r="H86" s="3">
        <v>10.07</v>
      </c>
      <c r="I86">
        <v>-1.1499999999999999</v>
      </c>
      <c r="J86" s="3">
        <v>5.42</v>
      </c>
      <c r="K86" s="3">
        <v>72.900000000000006</v>
      </c>
      <c r="L86">
        <v>69</v>
      </c>
    </row>
    <row r="87" spans="1:12" hidden="1">
      <c r="A87" s="6" t="s">
        <v>134</v>
      </c>
      <c r="B87" s="6" t="s">
        <v>75</v>
      </c>
      <c r="C87" s="6" t="s">
        <v>140</v>
      </c>
      <c r="D87" s="5">
        <v>17</v>
      </c>
      <c r="E87" s="6">
        <v>28</v>
      </c>
      <c r="F87" s="6">
        <v>82</v>
      </c>
      <c r="G87" s="6">
        <v>20.010000000000002</v>
      </c>
      <c r="H87" s="7">
        <v>10.07</v>
      </c>
      <c r="I87" s="6">
        <v>-1.1499999999999999</v>
      </c>
      <c r="J87" s="7">
        <v>5.42</v>
      </c>
      <c r="K87" s="7">
        <v>72.900000000000006</v>
      </c>
      <c r="L87" s="6">
        <v>69</v>
      </c>
    </row>
    <row r="88" spans="1:12">
      <c r="A88" t="s">
        <v>134</v>
      </c>
      <c r="B88" t="s">
        <v>75</v>
      </c>
      <c r="C88" t="s">
        <v>141</v>
      </c>
      <c r="D88" s="4">
        <v>44</v>
      </c>
      <c r="E88">
        <v>28</v>
      </c>
      <c r="F88">
        <v>225</v>
      </c>
      <c r="G88">
        <v>20.010000000000002</v>
      </c>
      <c r="H88" s="3">
        <v>-5.71</v>
      </c>
      <c r="I88">
        <v>-1.1499999999999999</v>
      </c>
      <c r="J88" s="3">
        <v>7.03</v>
      </c>
      <c r="K88" s="3">
        <v>66.900000000000006</v>
      </c>
      <c r="L88">
        <v>69</v>
      </c>
    </row>
    <row r="89" spans="1:12" hidden="1">
      <c r="A89" s="6" t="s">
        <v>134</v>
      </c>
      <c r="B89" s="6" t="s">
        <v>75</v>
      </c>
      <c r="C89" s="6" t="s">
        <v>141</v>
      </c>
      <c r="D89" s="5">
        <v>44</v>
      </c>
      <c r="E89" s="6">
        <v>28</v>
      </c>
      <c r="F89" s="6">
        <v>225</v>
      </c>
      <c r="G89" s="6">
        <v>20.010000000000002</v>
      </c>
      <c r="H89" s="7">
        <v>-5.71</v>
      </c>
      <c r="I89" s="6">
        <v>-1.1499999999999999</v>
      </c>
      <c r="J89" s="7">
        <v>7.03</v>
      </c>
      <c r="K89" s="7">
        <v>66.900000000000006</v>
      </c>
      <c r="L89" s="6">
        <v>69</v>
      </c>
    </row>
    <row r="90" spans="1:12">
      <c r="A90" t="s">
        <v>142</v>
      </c>
      <c r="B90" t="s">
        <v>64</v>
      </c>
      <c r="C90" t="s">
        <v>75</v>
      </c>
      <c r="D90" s="4">
        <v>9</v>
      </c>
      <c r="E90">
        <v>112</v>
      </c>
      <c r="F90">
        <v>28</v>
      </c>
      <c r="G90">
        <v>6.18</v>
      </c>
      <c r="H90" s="3">
        <v>20.010000000000002</v>
      </c>
      <c r="I90">
        <v>-1.89</v>
      </c>
      <c r="J90" s="3">
        <v>-1.1499999999999999</v>
      </c>
      <c r="K90" s="3">
        <v>69</v>
      </c>
      <c r="L90">
        <v>64.3</v>
      </c>
    </row>
    <row r="91" spans="1:12" hidden="1">
      <c r="A91" s="6" t="s">
        <v>142</v>
      </c>
      <c r="B91" s="6" t="s">
        <v>64</v>
      </c>
      <c r="C91" s="6" t="s">
        <v>75</v>
      </c>
      <c r="D91" s="5">
        <v>9</v>
      </c>
      <c r="E91" s="6">
        <v>112</v>
      </c>
      <c r="F91" s="6">
        <v>28</v>
      </c>
      <c r="G91" s="6">
        <v>6.18</v>
      </c>
      <c r="H91" s="7">
        <v>20.010000000000002</v>
      </c>
      <c r="I91" s="6">
        <v>-1.89</v>
      </c>
      <c r="J91" s="7">
        <v>-1.1499999999999999</v>
      </c>
      <c r="K91" s="7">
        <v>69</v>
      </c>
      <c r="L91" s="6">
        <v>64.3</v>
      </c>
    </row>
    <row r="92" spans="1:12">
      <c r="A92" t="s">
        <v>143</v>
      </c>
      <c r="B92" t="s">
        <v>117</v>
      </c>
      <c r="C92" t="s">
        <v>75</v>
      </c>
      <c r="D92" s="4">
        <v>9</v>
      </c>
      <c r="E92">
        <v>14</v>
      </c>
      <c r="F92">
        <v>28</v>
      </c>
      <c r="G92">
        <v>26.54</v>
      </c>
      <c r="H92" s="3">
        <v>20.010000000000002</v>
      </c>
      <c r="I92">
        <v>-0.79</v>
      </c>
      <c r="J92" s="3">
        <v>-1.1499999999999999</v>
      </c>
      <c r="K92" s="3">
        <v>69</v>
      </c>
      <c r="L92">
        <v>71.8</v>
      </c>
    </row>
    <row r="93" spans="1:12" hidden="1">
      <c r="A93" s="6" t="s">
        <v>143</v>
      </c>
      <c r="B93" s="6" t="s">
        <v>117</v>
      </c>
      <c r="C93" s="6" t="s">
        <v>75</v>
      </c>
      <c r="D93" s="5">
        <v>9</v>
      </c>
      <c r="E93" s="6">
        <v>14</v>
      </c>
      <c r="F93" s="6">
        <v>28</v>
      </c>
      <c r="G93" s="6">
        <v>26.54</v>
      </c>
      <c r="H93" s="7">
        <v>20.010000000000002</v>
      </c>
      <c r="I93" s="6">
        <v>-0.79</v>
      </c>
      <c r="J93" s="7">
        <v>-1.1499999999999999</v>
      </c>
      <c r="K93" s="7">
        <v>69</v>
      </c>
      <c r="L93" s="6">
        <v>71.8</v>
      </c>
    </row>
    <row r="99" spans="4:15" s="6" customFormat="1" hidden="1">
      <c r="D99" s="5"/>
      <c r="H99" s="7"/>
      <c r="J99" s="7"/>
      <c r="K99" s="7"/>
      <c r="O99" s="7"/>
    </row>
    <row r="101" spans="4:15" s="6" customFormat="1" hidden="1">
      <c r="D101" s="5"/>
      <c r="H101" s="7"/>
      <c r="J101" s="7"/>
      <c r="K101" s="7"/>
      <c r="O101" s="7"/>
    </row>
    <row r="103" spans="4:15" s="6" customFormat="1" hidden="1">
      <c r="D103" s="5"/>
      <c r="H103" s="7"/>
      <c r="J103" s="7"/>
      <c r="K103" s="7"/>
      <c r="O103" s="7"/>
    </row>
    <row r="105" spans="4:15" s="6" customFormat="1" hidden="1">
      <c r="D105" s="5"/>
      <c r="H105" s="7"/>
      <c r="J105" s="7"/>
      <c r="K105" s="7"/>
      <c r="O105" s="7"/>
    </row>
    <row r="107" spans="4:15" s="6" customFormat="1" hidden="1">
      <c r="D107" s="5"/>
      <c r="H107" s="7"/>
      <c r="J107" s="7"/>
      <c r="K107" s="7"/>
      <c r="O107" s="7"/>
    </row>
    <row r="109" spans="4:15" s="6" customFormat="1" hidden="1">
      <c r="D109" s="5"/>
      <c r="H109" s="7"/>
      <c r="J109" s="7"/>
      <c r="K109" s="7"/>
      <c r="O109" s="7"/>
    </row>
    <row r="111" spans="4:15" s="6" customFormat="1" hidden="1">
      <c r="D111" s="5"/>
      <c r="H111" s="7"/>
      <c r="J111" s="7"/>
      <c r="K111" s="7"/>
      <c r="O111" s="7"/>
    </row>
    <row r="113" spans="4:15" s="6" customFormat="1" hidden="1">
      <c r="D113" s="5"/>
      <c r="H113" s="7"/>
      <c r="J113" s="7"/>
      <c r="K113" s="7"/>
      <c r="O113" s="7"/>
    </row>
    <row r="115" spans="4:15" s="6" customFormat="1">
      <c r="D115" s="5"/>
      <c r="H115" s="7"/>
      <c r="J115" s="7"/>
      <c r="K115" s="7"/>
      <c r="O11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C9F4-2FBD-4DA4-8179-392D331E2BA0}">
  <dimension ref="A1:I78"/>
  <sheetViews>
    <sheetView topLeftCell="A2" workbookViewId="0">
      <selection activeCell="G10" sqref="G10"/>
    </sheetView>
  </sheetViews>
  <sheetFormatPr defaultRowHeight="14.45"/>
  <cols>
    <col min="1" max="1" width="22.85546875" bestFit="1" customWidth="1"/>
    <col min="2" max="2" width="23.5703125" bestFit="1" customWidth="1"/>
    <col min="3" max="3" width="13" bestFit="1" customWidth="1"/>
    <col min="4" max="4" width="12.42578125" bestFit="1" customWidth="1"/>
    <col min="5" max="5" width="11.85546875" bestFit="1" customWidth="1"/>
    <col min="6" max="6" width="12.7109375" bestFit="1" customWidth="1"/>
    <col min="7" max="9" width="12.42578125" bestFit="1" customWidth="1"/>
  </cols>
  <sheetData>
    <row r="1" spans="1:9">
      <c r="A1" t="s">
        <v>0</v>
      </c>
    </row>
    <row r="2" spans="1:9" ht="15" thickBot="1"/>
    <row r="3" spans="1:9">
      <c r="A3" s="10" t="s">
        <v>1</v>
      </c>
      <c r="B3" s="10"/>
    </row>
    <row r="4" spans="1:9">
      <c r="A4" t="s">
        <v>2</v>
      </c>
      <c r="B4">
        <v>0.75988099474969251</v>
      </c>
    </row>
    <row r="5" spans="1:9">
      <c r="A5" t="s">
        <v>3</v>
      </c>
      <c r="B5">
        <v>0.57741912618178215</v>
      </c>
    </row>
    <row r="6" spans="1:9">
      <c r="A6" t="s">
        <v>4</v>
      </c>
      <c r="B6">
        <v>0.48845473169373632</v>
      </c>
    </row>
    <row r="7" spans="1:9">
      <c r="A7" t="s">
        <v>5</v>
      </c>
      <c r="B7">
        <v>11.006003875995996</v>
      </c>
    </row>
    <row r="8" spans="1:9" ht="15" thickBot="1">
      <c r="A8" s="1" t="s">
        <v>6</v>
      </c>
      <c r="B8" s="1">
        <v>47</v>
      </c>
    </row>
    <row r="10" spans="1:9" ht="15" thickBot="1">
      <c r="A10" t="s">
        <v>7</v>
      </c>
    </row>
    <row r="11" spans="1:9">
      <c r="A11" s="9"/>
      <c r="B11" s="9" t="s">
        <v>8</v>
      </c>
      <c r="C11" s="9" t="s">
        <v>9</v>
      </c>
      <c r="D11" s="9" t="s">
        <v>10</v>
      </c>
      <c r="E11" s="9" t="s">
        <v>11</v>
      </c>
      <c r="F11" s="9" t="s">
        <v>12</v>
      </c>
    </row>
    <row r="12" spans="1:9">
      <c r="A12" t="s">
        <v>13</v>
      </c>
      <c r="B12">
        <v>8</v>
      </c>
      <c r="C12">
        <v>6289.6176877716598</v>
      </c>
      <c r="D12">
        <v>786.20221097145748</v>
      </c>
      <c r="E12">
        <v>6.4904519330974582</v>
      </c>
      <c r="F12">
        <v>2.5858276914996561E-5</v>
      </c>
    </row>
    <row r="13" spans="1:9">
      <c r="A13" t="s">
        <v>14</v>
      </c>
      <c r="B13">
        <v>38</v>
      </c>
      <c r="C13">
        <v>4603.0206101006779</v>
      </c>
      <c r="D13">
        <v>121.13212131843889</v>
      </c>
    </row>
    <row r="14" spans="1:9" ht="15" thickBot="1">
      <c r="A14" s="1" t="s">
        <v>15</v>
      </c>
      <c r="B14" s="1">
        <v>46</v>
      </c>
      <c r="C14" s="1">
        <v>10892.638297872338</v>
      </c>
      <c r="D14" s="1"/>
      <c r="E14" s="1"/>
      <c r="F14" s="1"/>
    </row>
    <row r="15" spans="1:9" ht="15" thickBot="1"/>
    <row r="16" spans="1:9">
      <c r="A16" s="9"/>
      <c r="B16" s="9" t="s">
        <v>16</v>
      </c>
      <c r="C16" s="9" t="s">
        <v>5</v>
      </c>
      <c r="D16" s="9" t="s">
        <v>17</v>
      </c>
      <c r="E16" s="9" t="s">
        <v>18</v>
      </c>
      <c r="F16" s="9" t="s">
        <v>19</v>
      </c>
      <c r="G16" s="9" t="s">
        <v>20</v>
      </c>
      <c r="H16" s="9" t="s">
        <v>21</v>
      </c>
      <c r="I16" s="9" t="s">
        <v>22</v>
      </c>
    </row>
    <row r="17" spans="1:9">
      <c r="A17" t="s">
        <v>23</v>
      </c>
      <c r="B17">
        <v>173.93664326804418</v>
      </c>
      <c r="C17">
        <v>146.17108947395172</v>
      </c>
      <c r="D17">
        <v>1.1899524310451308</v>
      </c>
      <c r="E17">
        <v>0.24144667923412805</v>
      </c>
      <c r="F17">
        <v>-121.97125719567811</v>
      </c>
      <c r="G17">
        <v>469.84454373176646</v>
      </c>
      <c r="H17">
        <v>-121.97125719567811</v>
      </c>
      <c r="I17">
        <v>469.84454373176646</v>
      </c>
    </row>
    <row r="18" spans="1:9">
      <c r="A18" t="s">
        <v>24</v>
      </c>
      <c r="B18">
        <v>-0.31230658651313237</v>
      </c>
      <c r="C18">
        <v>0.39282659669298553</v>
      </c>
      <c r="D18">
        <v>-0.79502403641272856</v>
      </c>
      <c r="E18">
        <v>0.43153739240022781</v>
      </c>
      <c r="F18">
        <v>-1.1075424562878136</v>
      </c>
      <c r="G18">
        <v>0.48292928326154883</v>
      </c>
      <c r="H18">
        <v>-1.1075424562878136</v>
      </c>
      <c r="I18">
        <v>0.48292928326154883</v>
      </c>
    </row>
    <row r="19" spans="1:9">
      <c r="A19" t="s">
        <v>25</v>
      </c>
      <c r="B19">
        <v>5.9485419588464032E-2</v>
      </c>
      <c r="C19">
        <v>3.748413060616429E-2</v>
      </c>
      <c r="D19">
        <v>1.5869494270378413</v>
      </c>
      <c r="E19">
        <v>0.12081145807864495</v>
      </c>
      <c r="F19">
        <v>-1.6397235649969026E-2</v>
      </c>
      <c r="G19">
        <v>0.13536807482689708</v>
      </c>
      <c r="H19">
        <v>-1.6397235649969026E-2</v>
      </c>
      <c r="I19">
        <v>0.13536807482689708</v>
      </c>
    </row>
    <row r="20" spans="1:9">
      <c r="A20" t="s">
        <v>26</v>
      </c>
      <c r="B20">
        <v>-0.6547916976998287</v>
      </c>
      <c r="C20">
        <v>1.7241365568434706</v>
      </c>
      <c r="D20">
        <v>-0.37977948736184436</v>
      </c>
      <c r="E20">
        <v>0.70622343876607652</v>
      </c>
      <c r="F20">
        <v>-4.1451236811610297</v>
      </c>
      <c r="G20">
        <v>2.8355402857613718</v>
      </c>
      <c r="H20">
        <v>-4.1451236811610297</v>
      </c>
      <c r="I20">
        <v>2.8355402857613718</v>
      </c>
    </row>
    <row r="21" spans="1:9">
      <c r="A21" t="s">
        <v>27</v>
      </c>
      <c r="B21">
        <v>-9.0519550354730624E-2</v>
      </c>
      <c r="C21">
        <v>7.0628213947518823E-2</v>
      </c>
      <c r="D21">
        <v>-1.2816344247639095</v>
      </c>
      <c r="E21">
        <v>0.20773618761710425</v>
      </c>
      <c r="F21">
        <v>-0.23349889447761374</v>
      </c>
      <c r="G21">
        <v>5.2459793768152505E-2</v>
      </c>
      <c r="H21">
        <v>-0.23349889447761374</v>
      </c>
      <c r="I21">
        <v>5.2459793768152505E-2</v>
      </c>
    </row>
    <row r="22" spans="1:9">
      <c r="A22" t="s">
        <v>28</v>
      </c>
      <c r="B22">
        <v>-0.41046157889854235</v>
      </c>
      <c r="C22">
        <v>0.32409110507791022</v>
      </c>
      <c r="D22">
        <v>-1.2665005995763723</v>
      </c>
      <c r="E22">
        <v>0.21304244592067623</v>
      </c>
      <c r="F22">
        <v>-1.0665497205940448</v>
      </c>
      <c r="G22">
        <v>0.24562656279696021</v>
      </c>
      <c r="H22">
        <v>-1.0665497205940448</v>
      </c>
      <c r="I22">
        <v>0.24562656279696021</v>
      </c>
    </row>
    <row r="23" spans="1:9">
      <c r="A23" t="s">
        <v>29</v>
      </c>
      <c r="B23">
        <v>-0.4724198281955459</v>
      </c>
      <c r="C23">
        <v>0.36093818554095708</v>
      </c>
      <c r="D23">
        <v>-1.3088663020996389</v>
      </c>
      <c r="E23">
        <v>0.19844011102460227</v>
      </c>
      <c r="F23">
        <v>-1.2031009845376353</v>
      </c>
      <c r="G23">
        <v>0.25826132814654351</v>
      </c>
      <c r="H23">
        <v>-1.2031009845376353</v>
      </c>
      <c r="I23">
        <v>0.25826132814654351</v>
      </c>
    </row>
    <row r="24" spans="1:9">
      <c r="A24" t="s">
        <v>30</v>
      </c>
      <c r="B24">
        <v>-1.7887780761970087</v>
      </c>
      <c r="C24">
        <v>0.82445749011928671</v>
      </c>
      <c r="D24">
        <v>-2.1696425802841564</v>
      </c>
      <c r="E24">
        <v>3.635469954532472E-2</v>
      </c>
      <c r="F24">
        <v>-3.4578050075880036</v>
      </c>
      <c r="G24">
        <v>-0.11975114480601379</v>
      </c>
      <c r="H24">
        <v>-3.4578050075880036</v>
      </c>
      <c r="I24">
        <v>-0.11975114480601379</v>
      </c>
    </row>
    <row r="25" spans="1:9" ht="15" thickBot="1">
      <c r="A25" s="1" t="s">
        <v>31</v>
      </c>
      <c r="B25" s="1">
        <v>-0.15509545826857027</v>
      </c>
      <c r="C25" s="1">
        <v>1.5041018541838125</v>
      </c>
      <c r="D25" s="1">
        <v>-0.10311499705765036</v>
      </c>
      <c r="E25" s="1">
        <v>0.91841397184855378</v>
      </c>
      <c r="F25" s="1">
        <v>-3.1999904738074538</v>
      </c>
      <c r="G25" s="1">
        <v>2.889799557270313</v>
      </c>
      <c r="H25" s="1">
        <v>-3.1999904738074538</v>
      </c>
      <c r="I25" s="1">
        <v>2.889799557270313</v>
      </c>
    </row>
    <row r="29" spans="1:9">
      <c r="A29" t="s">
        <v>32</v>
      </c>
    </row>
    <row r="30" spans="1:9" ht="15" thickBot="1"/>
    <row r="31" spans="1:9">
      <c r="A31" s="9" t="s">
        <v>33</v>
      </c>
      <c r="B31" s="9" t="s">
        <v>144</v>
      </c>
      <c r="C31" s="9" t="s">
        <v>35</v>
      </c>
    </row>
    <row r="32" spans="1:9">
      <c r="A32">
        <v>1</v>
      </c>
      <c r="B32">
        <v>11.411092920129043</v>
      </c>
      <c r="C32">
        <v>4.5889070798709568</v>
      </c>
    </row>
    <row r="33" spans="1:3">
      <c r="A33">
        <v>2</v>
      </c>
      <c r="B33">
        <v>10.833289551814424</v>
      </c>
      <c r="C33">
        <v>0.1667104481855759</v>
      </c>
    </row>
    <row r="34" spans="1:3">
      <c r="A34">
        <v>3</v>
      </c>
      <c r="B34">
        <v>6.4812926522506427</v>
      </c>
      <c r="C34">
        <v>21.518707347749356</v>
      </c>
    </row>
    <row r="35" spans="1:3">
      <c r="A35">
        <v>4</v>
      </c>
      <c r="B35">
        <v>11.312476089562024</v>
      </c>
      <c r="C35">
        <v>4.6875239104379762</v>
      </c>
    </row>
    <row r="36" spans="1:3">
      <c r="A36">
        <v>5</v>
      </c>
      <c r="B36">
        <v>-2.4079558450336105</v>
      </c>
      <c r="C36">
        <v>-13.59204415496639</v>
      </c>
    </row>
    <row r="37" spans="1:3">
      <c r="A37">
        <v>6</v>
      </c>
      <c r="B37">
        <v>19.694967371479827</v>
      </c>
      <c r="C37">
        <v>6.3050326285201734</v>
      </c>
    </row>
    <row r="38" spans="1:3">
      <c r="A38">
        <v>7</v>
      </c>
      <c r="B38">
        <v>19.731532237145366</v>
      </c>
      <c r="C38">
        <v>-0.73153223714536608</v>
      </c>
    </row>
    <row r="39" spans="1:3">
      <c r="A39">
        <v>8</v>
      </c>
      <c r="B39">
        <v>18.147661553347142</v>
      </c>
      <c r="C39">
        <v>-3.1476615533471417</v>
      </c>
    </row>
    <row r="40" spans="1:3">
      <c r="A40">
        <v>9</v>
      </c>
      <c r="B40">
        <v>5.3537881020653941</v>
      </c>
      <c r="C40">
        <v>11.646211897934606</v>
      </c>
    </row>
    <row r="41" spans="1:3">
      <c r="A41">
        <v>10</v>
      </c>
      <c r="B41">
        <v>18.257825294892008</v>
      </c>
      <c r="C41">
        <v>-9.2578252948920081</v>
      </c>
    </row>
    <row r="42" spans="1:3">
      <c r="A42">
        <v>11</v>
      </c>
      <c r="B42">
        <v>13.709290054407127</v>
      </c>
      <c r="C42">
        <v>-4.709290054407127</v>
      </c>
    </row>
    <row r="43" spans="1:3">
      <c r="A43">
        <v>12</v>
      </c>
      <c r="B43">
        <v>5.6163995936850668</v>
      </c>
      <c r="C43">
        <v>4.3836004063149332</v>
      </c>
    </row>
    <row r="44" spans="1:3">
      <c r="A44">
        <v>13</v>
      </c>
      <c r="B44">
        <v>3.8802730788073969</v>
      </c>
      <c r="C44">
        <v>-9.8802730788073969</v>
      </c>
    </row>
    <row r="45" spans="1:3">
      <c r="A45">
        <v>14</v>
      </c>
      <c r="B45">
        <v>5.7795088208427572</v>
      </c>
      <c r="C45">
        <v>7.2204911791572428</v>
      </c>
    </row>
    <row r="46" spans="1:3">
      <c r="A46">
        <v>15</v>
      </c>
      <c r="B46">
        <v>1.9782332232776678</v>
      </c>
      <c r="C46">
        <v>23.02176677672233</v>
      </c>
    </row>
    <row r="47" spans="1:3">
      <c r="A47">
        <v>16</v>
      </c>
      <c r="B47">
        <v>-4.797940150723683</v>
      </c>
      <c r="C47">
        <v>-20.202059849276317</v>
      </c>
    </row>
    <row r="48" spans="1:3">
      <c r="A48">
        <v>17</v>
      </c>
      <c r="B48">
        <v>5.6766939658424516</v>
      </c>
      <c r="C48">
        <v>-6.6766939658424516</v>
      </c>
    </row>
    <row r="49" spans="1:3">
      <c r="A49">
        <v>18</v>
      </c>
      <c r="B49">
        <v>6.0435069987190566</v>
      </c>
      <c r="C49">
        <v>2.9564930012809434</v>
      </c>
    </row>
    <row r="50" spans="1:3">
      <c r="A50">
        <v>19</v>
      </c>
      <c r="B50">
        <v>0.12271529800124625</v>
      </c>
      <c r="C50">
        <v>-1.1227152980012463</v>
      </c>
    </row>
    <row r="51" spans="1:3">
      <c r="A51">
        <v>20</v>
      </c>
      <c r="B51">
        <v>8.1403415684745433</v>
      </c>
      <c r="C51">
        <v>-3.1403415684745433</v>
      </c>
    </row>
    <row r="52" spans="1:3">
      <c r="A52">
        <v>21</v>
      </c>
      <c r="B52">
        <v>8.7505158657620434</v>
      </c>
      <c r="C52">
        <v>3.2494841342379566</v>
      </c>
    </row>
    <row r="53" spans="1:3">
      <c r="A53">
        <v>22</v>
      </c>
      <c r="B53">
        <v>-1.7076778548139586</v>
      </c>
      <c r="C53">
        <v>-1.2923221451860414</v>
      </c>
    </row>
    <row r="54" spans="1:3">
      <c r="A54">
        <v>23</v>
      </c>
      <c r="B54">
        <v>9.0609566848646157</v>
      </c>
      <c r="C54">
        <v>-13.060956684864616</v>
      </c>
    </row>
    <row r="55" spans="1:3">
      <c r="A55">
        <v>24</v>
      </c>
      <c r="B55">
        <v>8.5263008926237447</v>
      </c>
      <c r="C55">
        <v>-12.526300892623745</v>
      </c>
    </row>
    <row r="56" spans="1:3">
      <c r="A56">
        <v>25</v>
      </c>
      <c r="B56">
        <v>6.616647900105626</v>
      </c>
      <c r="C56">
        <v>8.383352099894374</v>
      </c>
    </row>
    <row r="57" spans="1:3">
      <c r="A57">
        <v>26</v>
      </c>
      <c r="B57">
        <v>4.3821100676727909</v>
      </c>
      <c r="C57">
        <v>0.61788993232720912</v>
      </c>
    </row>
    <row r="58" spans="1:3">
      <c r="A58">
        <v>27</v>
      </c>
      <c r="B58">
        <v>-5.9860890326191178</v>
      </c>
      <c r="C58">
        <v>-10.013910967380882</v>
      </c>
    </row>
    <row r="59" spans="1:3">
      <c r="A59">
        <v>28</v>
      </c>
      <c r="B59">
        <v>6.8701196933083608</v>
      </c>
      <c r="C59">
        <v>2.1298803066916392</v>
      </c>
    </row>
    <row r="60" spans="1:3">
      <c r="A60">
        <v>29</v>
      </c>
      <c r="B60">
        <v>5.2907288733492166</v>
      </c>
      <c r="C60">
        <v>0.7092711266507834</v>
      </c>
    </row>
    <row r="61" spans="1:3">
      <c r="A61">
        <v>30</v>
      </c>
      <c r="B61">
        <v>6.8701196933083608</v>
      </c>
      <c r="C61">
        <v>6.1298803066916392</v>
      </c>
    </row>
    <row r="62" spans="1:3">
      <c r="A62">
        <v>31</v>
      </c>
      <c r="B62">
        <v>39.156857539275734</v>
      </c>
      <c r="C62">
        <v>7.8431424607242661</v>
      </c>
    </row>
    <row r="63" spans="1:3">
      <c r="A63">
        <v>32</v>
      </c>
      <c r="B63">
        <v>39.156857539275734</v>
      </c>
      <c r="C63">
        <v>7.8431424607242661</v>
      </c>
    </row>
    <row r="64" spans="1:3">
      <c r="A64">
        <v>33</v>
      </c>
      <c r="B64">
        <v>19.910014935493162</v>
      </c>
      <c r="C64">
        <v>3.0899850645068376</v>
      </c>
    </row>
    <row r="65" spans="1:3">
      <c r="A65">
        <v>34</v>
      </c>
      <c r="B65">
        <v>19.910014935493162</v>
      </c>
      <c r="C65">
        <v>3.0899850645068376</v>
      </c>
    </row>
    <row r="66" spans="1:3">
      <c r="A66">
        <v>35</v>
      </c>
      <c r="B66">
        <v>26.513124040379662</v>
      </c>
      <c r="C66">
        <v>4.4868759596203383</v>
      </c>
    </row>
    <row r="67" spans="1:3">
      <c r="A67">
        <v>36</v>
      </c>
      <c r="B67">
        <v>26.513124040379662</v>
      </c>
      <c r="C67">
        <v>4.4868759596203383</v>
      </c>
    </row>
    <row r="68" spans="1:3">
      <c r="A68">
        <v>37</v>
      </c>
      <c r="B68">
        <v>31.847095757803029</v>
      </c>
      <c r="C68">
        <v>-23.847095757803029</v>
      </c>
    </row>
    <row r="69" spans="1:3">
      <c r="A69">
        <v>38</v>
      </c>
      <c r="B69">
        <v>31.847095757803029</v>
      </c>
      <c r="C69">
        <v>-23.847095757803029</v>
      </c>
    </row>
    <row r="70" spans="1:3">
      <c r="A70">
        <v>39</v>
      </c>
      <c r="B70">
        <v>27.75878713315063</v>
      </c>
      <c r="C70">
        <v>-7.75878713315063</v>
      </c>
    </row>
    <row r="71" spans="1:3">
      <c r="A71">
        <v>40</v>
      </c>
      <c r="B71">
        <v>27.75878713315063</v>
      </c>
      <c r="C71">
        <v>-7.75878713315063</v>
      </c>
    </row>
    <row r="72" spans="1:3">
      <c r="A72">
        <v>41</v>
      </c>
      <c r="B72">
        <v>12.863956480505006</v>
      </c>
      <c r="C72">
        <v>4.1360435194949936</v>
      </c>
    </row>
    <row r="73" spans="1:3">
      <c r="A73">
        <v>42</v>
      </c>
      <c r="B73">
        <v>12.863956480505006</v>
      </c>
      <c r="C73">
        <v>4.1360435194949936</v>
      </c>
    </row>
    <row r="74" spans="1:3">
      <c r="A74">
        <v>43</v>
      </c>
      <c r="B74">
        <v>32.770842520040233</v>
      </c>
      <c r="C74">
        <v>11.229157479959767</v>
      </c>
    </row>
    <row r="75" spans="1:3">
      <c r="A75">
        <v>44</v>
      </c>
      <c r="B75">
        <v>32.770842520040233</v>
      </c>
      <c r="C75">
        <v>11.229157479959767</v>
      </c>
    </row>
    <row r="76" spans="1:3">
      <c r="A76">
        <v>45</v>
      </c>
      <c r="B76">
        <v>2.6867183949477198</v>
      </c>
      <c r="C76">
        <v>6.3132816050522802</v>
      </c>
    </row>
    <row r="77" spans="1:3">
      <c r="A77">
        <v>46</v>
      </c>
      <c r="B77">
        <v>2.6867183949477198</v>
      </c>
      <c r="C77">
        <v>6.3132816050522802</v>
      </c>
    </row>
    <row r="78" spans="1:3" ht="15" thickBot="1">
      <c r="A78" s="1">
        <v>47</v>
      </c>
      <c r="B78" s="1">
        <v>18.346481234263489</v>
      </c>
      <c r="C78" s="1">
        <v>-9.3464812342634893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4485-54E4-4416-9D6E-3B9B12A51FFF}">
  <dimension ref="A1:P71"/>
  <sheetViews>
    <sheetView workbookViewId="0">
      <selection activeCell="E48" sqref="E48"/>
    </sheetView>
  </sheetViews>
  <sheetFormatPr defaultRowHeight="14.45"/>
  <cols>
    <col min="1" max="1" width="38.85546875" bestFit="1" customWidth="1"/>
    <col min="2" max="2" width="12.7109375" bestFit="1" customWidth="1"/>
    <col min="3" max="3" width="16.5703125" bestFit="1" customWidth="1"/>
    <col min="4" max="4" width="14.5703125" bestFit="1" customWidth="1"/>
    <col min="5" max="5" width="22.5703125" style="6" bestFit="1" customWidth="1"/>
    <col min="6" max="6" width="15" bestFit="1" customWidth="1"/>
    <col min="7" max="8" width="14.42578125" bestFit="1" customWidth="1"/>
    <col min="9" max="9" width="13.85546875" bestFit="1" customWidth="1"/>
    <col min="10" max="10" width="22.85546875" bestFit="1" customWidth="1"/>
    <col min="11" max="11" width="22.140625" bestFit="1" customWidth="1"/>
    <col min="12" max="12" width="10.85546875" bestFit="1" customWidth="1"/>
    <col min="13" max="13" width="11.42578125" bestFit="1" customWidth="1"/>
    <col min="15" max="15" width="22.85546875" bestFit="1" customWidth="1"/>
    <col min="16" max="16" width="12.42578125" bestFit="1" customWidth="1"/>
  </cols>
  <sheetData>
    <row r="1" spans="1:16">
      <c r="A1" t="s">
        <v>36</v>
      </c>
      <c r="B1" t="s">
        <v>37</v>
      </c>
      <c r="C1" t="s">
        <v>38</v>
      </c>
      <c r="D1" t="s">
        <v>145</v>
      </c>
      <c r="E1" t="s">
        <v>112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6">
      <c r="A2" t="s">
        <v>146</v>
      </c>
      <c r="B2" t="s">
        <v>75</v>
      </c>
      <c r="C2" t="s">
        <v>114</v>
      </c>
      <c r="D2">
        <v>16</v>
      </c>
      <c r="E2" s="8">
        <f t="shared" ref="E2:E48" si="0">$P$10+(F2*$P$11)+($P$12*G2)+($P$13*H2)+($P$14*I2)+($P$15*J2)+($P$16*K2)+($P$17*L2)+($P$18*M2)</f>
        <v>11.411092920129043</v>
      </c>
      <c r="F2">
        <v>45</v>
      </c>
      <c r="G2">
        <v>69</v>
      </c>
      <c r="H2">
        <v>16.98</v>
      </c>
      <c r="I2">
        <v>11.51</v>
      </c>
      <c r="J2">
        <v>14.13</v>
      </c>
      <c r="K2">
        <v>14.55</v>
      </c>
      <c r="L2">
        <v>65.5</v>
      </c>
      <c r="M2">
        <v>68.2</v>
      </c>
    </row>
    <row r="3" spans="1:16">
      <c r="A3" t="s">
        <v>104</v>
      </c>
      <c r="B3" t="s">
        <v>75</v>
      </c>
      <c r="C3" t="s">
        <v>115</v>
      </c>
      <c r="D3">
        <v>11</v>
      </c>
      <c r="E3" s="8">
        <f t="shared" si="0"/>
        <v>10.833289551814424</v>
      </c>
      <c r="F3">
        <v>45</v>
      </c>
      <c r="G3">
        <v>143</v>
      </c>
      <c r="H3">
        <v>16.98</v>
      </c>
      <c r="I3">
        <v>184</v>
      </c>
      <c r="J3">
        <v>14.13</v>
      </c>
      <c r="K3">
        <v>-2.2799999999999998</v>
      </c>
      <c r="L3">
        <v>64</v>
      </c>
      <c r="M3">
        <v>68.2</v>
      </c>
    </row>
    <row r="4" spans="1:16">
      <c r="A4" t="s">
        <v>116</v>
      </c>
      <c r="B4" t="s">
        <v>117</v>
      </c>
      <c r="C4" t="s">
        <v>75</v>
      </c>
      <c r="D4">
        <v>28</v>
      </c>
      <c r="E4" s="8">
        <f t="shared" si="0"/>
        <v>6.4812926522506427</v>
      </c>
      <c r="F4">
        <v>28</v>
      </c>
      <c r="G4">
        <v>45</v>
      </c>
      <c r="H4">
        <v>21.73</v>
      </c>
      <c r="I4">
        <v>16.98</v>
      </c>
      <c r="J4">
        <v>15.19</v>
      </c>
      <c r="K4">
        <v>14.13</v>
      </c>
      <c r="L4">
        <v>68.2</v>
      </c>
      <c r="M4">
        <v>69.099999999999994</v>
      </c>
    </row>
    <row r="5" spans="1:16">
      <c r="A5" t="s">
        <v>116</v>
      </c>
      <c r="B5" t="s">
        <v>118</v>
      </c>
      <c r="C5" t="s">
        <v>75</v>
      </c>
      <c r="D5">
        <v>16</v>
      </c>
      <c r="E5" s="8">
        <f t="shared" si="0"/>
        <v>11.312476089562024</v>
      </c>
      <c r="F5">
        <v>8</v>
      </c>
      <c r="G5">
        <v>45</v>
      </c>
      <c r="H5">
        <v>28.01</v>
      </c>
      <c r="I5">
        <v>16.98</v>
      </c>
      <c r="J5">
        <v>8.09</v>
      </c>
      <c r="K5">
        <v>14.13</v>
      </c>
      <c r="L5">
        <v>68.2</v>
      </c>
      <c r="M5">
        <v>70.5</v>
      </c>
    </row>
    <row r="6" spans="1:16">
      <c r="A6" t="s">
        <v>116</v>
      </c>
      <c r="B6" t="s">
        <v>119</v>
      </c>
      <c r="C6" t="s">
        <v>75</v>
      </c>
      <c r="D6">
        <v>-16</v>
      </c>
      <c r="E6" s="8">
        <f t="shared" si="0"/>
        <v>-2.4079558450336105</v>
      </c>
      <c r="F6">
        <v>96</v>
      </c>
      <c r="G6">
        <v>45</v>
      </c>
      <c r="H6">
        <v>6.93</v>
      </c>
      <c r="I6">
        <v>16.98</v>
      </c>
      <c r="J6">
        <v>9.6999999999999993</v>
      </c>
      <c r="K6">
        <v>14.13</v>
      </c>
      <c r="L6">
        <v>68.2</v>
      </c>
      <c r="M6">
        <v>66.5</v>
      </c>
    </row>
    <row r="7" spans="1:16">
      <c r="A7" t="s">
        <v>104</v>
      </c>
      <c r="B7" t="s">
        <v>75</v>
      </c>
      <c r="C7" t="s">
        <v>120</v>
      </c>
      <c r="D7">
        <v>26</v>
      </c>
      <c r="E7" s="8">
        <f t="shared" si="0"/>
        <v>19.694967371479827</v>
      </c>
      <c r="F7">
        <v>45</v>
      </c>
      <c r="G7">
        <v>175</v>
      </c>
      <c r="H7">
        <v>16.98</v>
      </c>
      <c r="I7">
        <v>-1.05</v>
      </c>
      <c r="J7">
        <v>14.13</v>
      </c>
      <c r="K7">
        <v>4.0599999999999996</v>
      </c>
      <c r="L7">
        <v>67.8</v>
      </c>
      <c r="M7">
        <v>68.2</v>
      </c>
    </row>
    <row r="8" spans="1:16" ht="15" thickBot="1">
      <c r="A8" t="s">
        <v>104</v>
      </c>
      <c r="B8" t="s">
        <v>75</v>
      </c>
      <c r="C8" t="s">
        <v>121</v>
      </c>
      <c r="D8">
        <v>19</v>
      </c>
      <c r="E8" s="8">
        <f t="shared" si="0"/>
        <v>19.731532237145366</v>
      </c>
      <c r="F8">
        <v>45</v>
      </c>
      <c r="G8">
        <v>146</v>
      </c>
      <c r="H8">
        <v>16.98</v>
      </c>
      <c r="I8">
        <v>1.0900000000000001</v>
      </c>
      <c r="J8">
        <v>14.13</v>
      </c>
      <c r="K8">
        <v>-5.38</v>
      </c>
      <c r="L8">
        <v>69.2</v>
      </c>
      <c r="M8">
        <v>68.2</v>
      </c>
    </row>
    <row r="9" spans="1:16">
      <c r="A9" t="s">
        <v>104</v>
      </c>
      <c r="B9" t="s">
        <v>75</v>
      </c>
      <c r="C9" t="s">
        <v>64</v>
      </c>
      <c r="D9">
        <v>15</v>
      </c>
      <c r="E9" s="8">
        <f t="shared" si="0"/>
        <v>18.147661553347142</v>
      </c>
      <c r="F9">
        <v>45</v>
      </c>
      <c r="G9">
        <v>83</v>
      </c>
      <c r="H9">
        <v>16.98</v>
      </c>
      <c r="I9">
        <v>9.15</v>
      </c>
      <c r="J9">
        <v>14.13</v>
      </c>
      <c r="K9">
        <v>12.35</v>
      </c>
      <c r="L9">
        <v>62.9</v>
      </c>
      <c r="M9">
        <v>68.2</v>
      </c>
      <c r="O9" s="9"/>
      <c r="P9" s="9" t="s">
        <v>16</v>
      </c>
    </row>
    <row r="10" spans="1:16">
      <c r="A10" t="s">
        <v>106</v>
      </c>
      <c r="B10" t="s">
        <v>68</v>
      </c>
      <c r="C10" t="s">
        <v>75</v>
      </c>
      <c r="D10">
        <v>17</v>
      </c>
      <c r="E10" s="8">
        <f t="shared" si="0"/>
        <v>5.3537881020653941</v>
      </c>
      <c r="F10">
        <v>46</v>
      </c>
      <c r="G10">
        <v>45</v>
      </c>
      <c r="H10">
        <v>16.98</v>
      </c>
      <c r="I10">
        <v>16.98</v>
      </c>
      <c r="J10">
        <v>12.31</v>
      </c>
      <c r="K10">
        <v>14.13</v>
      </c>
      <c r="L10">
        <v>68.2</v>
      </c>
      <c r="M10">
        <v>67.8</v>
      </c>
      <c r="O10" t="s">
        <v>23</v>
      </c>
      <c r="P10">
        <v>173.93664326804418</v>
      </c>
    </row>
    <row r="11" spans="1:16">
      <c r="A11" t="s">
        <v>104</v>
      </c>
      <c r="B11" t="s">
        <v>75</v>
      </c>
      <c r="C11" t="s">
        <v>122</v>
      </c>
      <c r="D11">
        <v>9</v>
      </c>
      <c r="E11" s="8">
        <f t="shared" si="0"/>
        <v>18.257825294892008</v>
      </c>
      <c r="F11">
        <v>45</v>
      </c>
      <c r="G11">
        <v>94</v>
      </c>
      <c r="H11">
        <v>16.98</v>
      </c>
      <c r="I11">
        <v>7.14</v>
      </c>
      <c r="J11">
        <v>14.13</v>
      </c>
      <c r="K11">
        <v>-0.88</v>
      </c>
      <c r="L11">
        <v>66.8</v>
      </c>
      <c r="M11">
        <v>68.2</v>
      </c>
      <c r="O11" t="s">
        <v>24</v>
      </c>
      <c r="P11">
        <v>-0.31230658651313237</v>
      </c>
    </row>
    <row r="12" spans="1:16">
      <c r="A12" t="s">
        <v>104</v>
      </c>
      <c r="B12" t="s">
        <v>75</v>
      </c>
      <c r="C12" t="s">
        <v>123</v>
      </c>
      <c r="D12">
        <v>9</v>
      </c>
      <c r="E12" s="8">
        <f t="shared" si="0"/>
        <v>13.709290054407127</v>
      </c>
      <c r="F12">
        <v>45</v>
      </c>
      <c r="G12">
        <v>166</v>
      </c>
      <c r="H12">
        <v>16.98</v>
      </c>
      <c r="I12">
        <v>-0.13</v>
      </c>
      <c r="J12">
        <v>14.13</v>
      </c>
      <c r="K12">
        <v>-3.89</v>
      </c>
      <c r="L12">
        <v>72.900000000000006</v>
      </c>
      <c r="M12">
        <v>68.2</v>
      </c>
      <c r="O12" t="s">
        <v>25</v>
      </c>
      <c r="P12">
        <v>5.9485419588464032E-2</v>
      </c>
    </row>
    <row r="13" spans="1:16">
      <c r="A13" t="s">
        <v>104</v>
      </c>
      <c r="B13" t="s">
        <v>75</v>
      </c>
      <c r="C13" t="s">
        <v>67</v>
      </c>
      <c r="D13">
        <v>10</v>
      </c>
      <c r="E13" s="8">
        <f t="shared" si="0"/>
        <v>5.6163995936850668</v>
      </c>
      <c r="F13">
        <v>45</v>
      </c>
      <c r="G13">
        <v>70</v>
      </c>
      <c r="H13">
        <v>16.98</v>
      </c>
      <c r="I13">
        <v>11.5</v>
      </c>
      <c r="J13">
        <v>14.13</v>
      </c>
      <c r="K13">
        <v>14.07</v>
      </c>
      <c r="L13">
        <v>68.900000000000006</v>
      </c>
      <c r="M13">
        <v>68.2</v>
      </c>
      <c r="O13" t="s">
        <v>26</v>
      </c>
      <c r="P13">
        <v>-0.6547916976998287</v>
      </c>
    </row>
    <row r="14" spans="1:16">
      <c r="A14" t="s">
        <v>124</v>
      </c>
      <c r="B14" t="s">
        <v>55</v>
      </c>
      <c r="C14" t="s">
        <v>75</v>
      </c>
      <c r="D14">
        <v>-6</v>
      </c>
      <c r="E14" s="8">
        <f t="shared" si="0"/>
        <v>3.8802730788073969</v>
      </c>
      <c r="F14">
        <v>58</v>
      </c>
      <c r="G14">
        <v>45</v>
      </c>
      <c r="H14">
        <v>14.36</v>
      </c>
      <c r="I14">
        <v>16.98</v>
      </c>
      <c r="J14">
        <v>10.08</v>
      </c>
      <c r="K14">
        <v>14.13</v>
      </c>
      <c r="L14">
        <v>68.2</v>
      </c>
      <c r="M14">
        <v>70.099999999999994</v>
      </c>
      <c r="O14" t="s">
        <v>27</v>
      </c>
      <c r="P14">
        <v>-9.0519550354730624E-2</v>
      </c>
    </row>
    <row r="15" spans="1:16">
      <c r="A15" t="s">
        <v>104</v>
      </c>
      <c r="B15" t="s">
        <v>75</v>
      </c>
      <c r="C15" t="s">
        <v>125</v>
      </c>
      <c r="D15">
        <v>13</v>
      </c>
      <c r="E15" s="8">
        <f t="shared" si="0"/>
        <v>5.7795088208427572</v>
      </c>
      <c r="F15">
        <v>45</v>
      </c>
      <c r="G15">
        <v>57</v>
      </c>
      <c r="H15">
        <v>16.98</v>
      </c>
      <c r="I15">
        <v>14.39</v>
      </c>
      <c r="J15">
        <v>14.13</v>
      </c>
      <c r="K15">
        <v>12.67</v>
      </c>
      <c r="L15">
        <v>68.599999999999994</v>
      </c>
      <c r="M15">
        <v>68.2</v>
      </c>
      <c r="O15" t="s">
        <v>28</v>
      </c>
      <c r="P15">
        <v>-0.41046157889854235</v>
      </c>
    </row>
    <row r="16" spans="1:16">
      <c r="A16" t="s">
        <v>107</v>
      </c>
      <c r="B16" t="s">
        <v>77</v>
      </c>
      <c r="C16" t="s">
        <v>75</v>
      </c>
      <c r="D16">
        <v>25</v>
      </c>
      <c r="E16" s="8">
        <f t="shared" si="0"/>
        <v>1.9782332232776678</v>
      </c>
      <c r="F16">
        <v>62</v>
      </c>
      <c r="G16">
        <v>45</v>
      </c>
      <c r="H16">
        <v>13.56</v>
      </c>
      <c r="I16">
        <v>16.98</v>
      </c>
      <c r="J16">
        <v>13.06</v>
      </c>
      <c r="K16">
        <v>14.13</v>
      </c>
      <c r="L16">
        <v>68.2</v>
      </c>
      <c r="M16">
        <v>69.8</v>
      </c>
      <c r="O16" t="s">
        <v>29</v>
      </c>
      <c r="P16">
        <v>-0.4724198281955459</v>
      </c>
    </row>
    <row r="17" spans="1:16">
      <c r="A17" t="s">
        <v>104</v>
      </c>
      <c r="B17" t="s">
        <v>75</v>
      </c>
      <c r="C17" t="s">
        <v>126</v>
      </c>
      <c r="D17">
        <v>-25</v>
      </c>
      <c r="E17" s="8">
        <f t="shared" si="0"/>
        <v>-4.797940150723683</v>
      </c>
      <c r="F17">
        <v>45</v>
      </c>
      <c r="G17">
        <v>17</v>
      </c>
      <c r="H17">
        <v>16.98</v>
      </c>
      <c r="I17">
        <v>24.32</v>
      </c>
      <c r="J17">
        <v>14.13</v>
      </c>
      <c r="K17">
        <v>17.14</v>
      </c>
      <c r="L17">
        <v>71.5</v>
      </c>
      <c r="M17">
        <v>68.2</v>
      </c>
      <c r="O17" t="s">
        <v>30</v>
      </c>
      <c r="P17">
        <v>-1.7887780761970087</v>
      </c>
    </row>
    <row r="18" spans="1:16" ht="15" thickBot="1">
      <c r="A18" t="s">
        <v>108</v>
      </c>
      <c r="B18" t="s">
        <v>73</v>
      </c>
      <c r="C18" t="s">
        <v>75</v>
      </c>
      <c r="D18">
        <v>-1</v>
      </c>
      <c r="E18" s="8">
        <f t="shared" si="0"/>
        <v>5.6766939658424516</v>
      </c>
      <c r="F18">
        <v>37</v>
      </c>
      <c r="G18">
        <v>45</v>
      </c>
      <c r="H18">
        <v>19.079999999999998</v>
      </c>
      <c r="I18">
        <v>16.98</v>
      </c>
      <c r="J18">
        <v>15.21</v>
      </c>
      <c r="K18">
        <v>14.13</v>
      </c>
      <c r="L18">
        <v>68.2</v>
      </c>
      <c r="M18">
        <v>67.3</v>
      </c>
      <c r="O18" s="1" t="s">
        <v>31</v>
      </c>
      <c r="P18" s="1">
        <v>-0.15509545826857027</v>
      </c>
    </row>
    <row r="19" spans="1:16">
      <c r="A19" t="s">
        <v>109</v>
      </c>
      <c r="B19" t="s">
        <v>65</v>
      </c>
      <c r="C19" t="s">
        <v>75</v>
      </c>
      <c r="D19">
        <v>9</v>
      </c>
      <c r="E19" s="8">
        <f t="shared" si="0"/>
        <v>6.0435069987190566</v>
      </c>
      <c r="F19">
        <v>44</v>
      </c>
      <c r="G19">
        <v>45</v>
      </c>
      <c r="H19">
        <v>17.02</v>
      </c>
      <c r="I19">
        <v>16.98</v>
      </c>
      <c r="J19">
        <v>13.07</v>
      </c>
      <c r="K19">
        <v>14.13</v>
      </c>
      <c r="L19">
        <v>68.2</v>
      </c>
      <c r="M19">
        <v>65.2</v>
      </c>
    </row>
    <row r="20" spans="1:16">
      <c r="A20" t="s">
        <v>104</v>
      </c>
      <c r="B20" t="s">
        <v>75</v>
      </c>
      <c r="C20" t="s">
        <v>56</v>
      </c>
      <c r="D20">
        <v>-1</v>
      </c>
      <c r="E20" s="8">
        <f t="shared" si="0"/>
        <v>0.12271529800124625</v>
      </c>
      <c r="F20">
        <v>45</v>
      </c>
      <c r="G20">
        <v>10</v>
      </c>
      <c r="H20">
        <v>16.98</v>
      </c>
      <c r="I20">
        <v>27.07</v>
      </c>
      <c r="J20">
        <v>14.13</v>
      </c>
      <c r="K20">
        <v>12.51</v>
      </c>
      <c r="L20">
        <v>69.599999999999994</v>
      </c>
      <c r="M20">
        <v>68.2</v>
      </c>
    </row>
    <row r="21" spans="1:16">
      <c r="A21" t="s">
        <v>87</v>
      </c>
      <c r="B21" t="s">
        <v>127</v>
      </c>
      <c r="C21" t="s">
        <v>75</v>
      </c>
      <c r="D21">
        <v>5</v>
      </c>
      <c r="E21" s="8">
        <f t="shared" si="0"/>
        <v>8.1403415684745433</v>
      </c>
      <c r="F21">
        <v>15</v>
      </c>
      <c r="G21">
        <v>45</v>
      </c>
      <c r="H21">
        <v>25.36</v>
      </c>
      <c r="I21">
        <v>16.98</v>
      </c>
      <c r="J21">
        <v>16.760000000000002</v>
      </c>
      <c r="K21">
        <v>14.13</v>
      </c>
      <c r="L21">
        <v>68.2</v>
      </c>
      <c r="M21">
        <v>65.099999999999994</v>
      </c>
    </row>
    <row r="22" spans="1:16">
      <c r="A22" t="s">
        <v>128</v>
      </c>
      <c r="B22" t="s">
        <v>80</v>
      </c>
      <c r="C22" t="s">
        <v>75</v>
      </c>
      <c r="D22">
        <v>12</v>
      </c>
      <c r="E22" s="8">
        <f t="shared" si="0"/>
        <v>8.7505158657620434</v>
      </c>
      <c r="F22">
        <v>12</v>
      </c>
      <c r="G22">
        <v>45</v>
      </c>
      <c r="H22">
        <v>26.57</v>
      </c>
      <c r="I22">
        <v>16.98</v>
      </c>
      <c r="J22">
        <v>14.53</v>
      </c>
      <c r="K22">
        <v>14.13</v>
      </c>
      <c r="L22">
        <v>68.2</v>
      </c>
      <c r="M22">
        <v>68</v>
      </c>
    </row>
    <row r="23" spans="1:16">
      <c r="A23" t="s">
        <v>104</v>
      </c>
      <c r="B23" t="s">
        <v>75</v>
      </c>
      <c r="C23" t="s">
        <v>129</v>
      </c>
      <c r="D23">
        <v>-3</v>
      </c>
      <c r="E23" s="8">
        <f t="shared" si="0"/>
        <v>-1.7076778548139586</v>
      </c>
      <c r="F23">
        <v>45</v>
      </c>
      <c r="G23">
        <v>21</v>
      </c>
      <c r="H23">
        <v>16.98</v>
      </c>
      <c r="I23">
        <v>23.45</v>
      </c>
      <c r="J23">
        <v>14.13</v>
      </c>
      <c r="K23">
        <v>16.57</v>
      </c>
      <c r="L23">
        <v>70.099999999999994</v>
      </c>
      <c r="M23">
        <v>68.2</v>
      </c>
    </row>
    <row r="24" spans="1:16">
      <c r="A24" t="s">
        <v>130</v>
      </c>
      <c r="B24" t="s">
        <v>82</v>
      </c>
      <c r="C24" t="s">
        <v>75</v>
      </c>
      <c r="D24">
        <v>-4</v>
      </c>
      <c r="E24" s="8">
        <f t="shared" si="0"/>
        <v>9.0609566848646157</v>
      </c>
      <c r="F24">
        <v>7</v>
      </c>
      <c r="G24">
        <v>45</v>
      </c>
      <c r="H24">
        <v>28.48</v>
      </c>
      <c r="I24">
        <v>16.98</v>
      </c>
      <c r="J24">
        <v>14.72</v>
      </c>
      <c r="K24">
        <v>14.13</v>
      </c>
      <c r="L24">
        <v>68.2</v>
      </c>
      <c r="M24">
        <v>67.5</v>
      </c>
    </row>
    <row r="25" spans="1:16">
      <c r="A25" t="s">
        <v>104</v>
      </c>
      <c r="B25" t="s">
        <v>75</v>
      </c>
      <c r="C25" t="s">
        <v>84</v>
      </c>
      <c r="D25">
        <v>-4</v>
      </c>
      <c r="E25" s="8">
        <f t="shared" si="0"/>
        <v>8.5263008926237447</v>
      </c>
      <c r="F25">
        <v>45</v>
      </c>
      <c r="G25">
        <v>20</v>
      </c>
      <c r="H25">
        <v>16.98</v>
      </c>
      <c r="I25">
        <v>23.46</v>
      </c>
      <c r="J25">
        <v>14.13</v>
      </c>
      <c r="K25">
        <v>14.09</v>
      </c>
      <c r="L25">
        <v>65</v>
      </c>
      <c r="M25">
        <v>68.2</v>
      </c>
    </row>
    <row r="26" spans="1:16">
      <c r="A26" t="s">
        <v>104</v>
      </c>
      <c r="B26" t="s">
        <v>75</v>
      </c>
      <c r="C26" t="s">
        <v>44</v>
      </c>
      <c r="D26">
        <v>15</v>
      </c>
      <c r="E26" s="8">
        <f t="shared" si="0"/>
        <v>6.616647900105626</v>
      </c>
      <c r="F26">
        <v>45</v>
      </c>
      <c r="G26">
        <v>15</v>
      </c>
      <c r="H26">
        <v>16.98</v>
      </c>
      <c r="I26">
        <v>25.36</v>
      </c>
      <c r="J26">
        <v>14.13</v>
      </c>
      <c r="K26">
        <v>16.760000000000002</v>
      </c>
      <c r="L26">
        <v>65.099999999999994</v>
      </c>
      <c r="M26">
        <v>68.2</v>
      </c>
    </row>
    <row r="27" spans="1:16">
      <c r="A27" t="s">
        <v>104</v>
      </c>
      <c r="B27" t="s">
        <v>75</v>
      </c>
      <c r="C27" t="s">
        <v>55</v>
      </c>
      <c r="D27">
        <v>5</v>
      </c>
      <c r="E27" s="8">
        <f t="shared" si="0"/>
        <v>4.3821100676727909</v>
      </c>
      <c r="F27">
        <v>45</v>
      </c>
      <c r="G27">
        <v>58</v>
      </c>
      <c r="H27">
        <v>16.98</v>
      </c>
      <c r="I27">
        <v>14.36</v>
      </c>
      <c r="J27">
        <v>14.13</v>
      </c>
      <c r="K27">
        <v>10.08</v>
      </c>
      <c r="L27">
        <v>70.099999999999994</v>
      </c>
      <c r="M27">
        <v>68.2</v>
      </c>
    </row>
    <row r="28" spans="1:16">
      <c r="A28" t="s">
        <v>131</v>
      </c>
      <c r="B28" t="s">
        <v>70</v>
      </c>
      <c r="C28" t="s">
        <v>75</v>
      </c>
      <c r="D28">
        <v>-16</v>
      </c>
      <c r="E28" s="8">
        <f t="shared" si="0"/>
        <v>-5.9860890326191178</v>
      </c>
      <c r="F28">
        <v>104</v>
      </c>
      <c r="G28">
        <v>45</v>
      </c>
      <c r="H28">
        <v>5.79</v>
      </c>
      <c r="I28">
        <v>16.98</v>
      </c>
      <c r="J28">
        <v>13.62</v>
      </c>
      <c r="K28">
        <v>14.13</v>
      </c>
      <c r="L28">
        <v>68.2</v>
      </c>
      <c r="M28">
        <v>67.900000000000006</v>
      </c>
    </row>
    <row r="29" spans="1:16">
      <c r="A29" t="s">
        <v>132</v>
      </c>
      <c r="B29" t="s">
        <v>72</v>
      </c>
      <c r="C29" t="s">
        <v>75</v>
      </c>
      <c r="D29">
        <v>9</v>
      </c>
      <c r="E29" s="8">
        <f t="shared" si="0"/>
        <v>6.8701196933083608</v>
      </c>
      <c r="F29">
        <v>27</v>
      </c>
      <c r="G29">
        <v>45</v>
      </c>
      <c r="H29">
        <v>21.85</v>
      </c>
      <c r="I29">
        <v>16.98</v>
      </c>
      <c r="J29">
        <v>15.19</v>
      </c>
      <c r="K29">
        <v>14.13</v>
      </c>
      <c r="L29">
        <v>68.2</v>
      </c>
      <c r="M29">
        <v>68.099999999999994</v>
      </c>
    </row>
    <row r="30" spans="1:16">
      <c r="A30" t="s">
        <v>104</v>
      </c>
      <c r="B30" t="s">
        <v>75</v>
      </c>
      <c r="C30" t="s">
        <v>73</v>
      </c>
      <c r="D30">
        <v>6</v>
      </c>
      <c r="E30" s="8">
        <f t="shared" si="0"/>
        <v>5.2907288733492166</v>
      </c>
      <c r="F30">
        <v>45</v>
      </c>
      <c r="G30">
        <v>37</v>
      </c>
      <c r="H30">
        <v>16.98</v>
      </c>
      <c r="I30">
        <v>19.079999999999998</v>
      </c>
      <c r="J30">
        <v>14.13</v>
      </c>
      <c r="K30">
        <v>15.21</v>
      </c>
      <c r="L30">
        <v>67.3</v>
      </c>
      <c r="M30">
        <v>68.2</v>
      </c>
    </row>
    <row r="31" spans="1:16">
      <c r="A31" t="s">
        <v>133</v>
      </c>
      <c r="B31" t="s">
        <v>72</v>
      </c>
      <c r="C31" t="s">
        <v>75</v>
      </c>
      <c r="D31">
        <v>13</v>
      </c>
      <c r="E31" s="8">
        <f t="shared" si="0"/>
        <v>6.8701196933083608</v>
      </c>
      <c r="F31">
        <v>27</v>
      </c>
      <c r="G31">
        <v>45</v>
      </c>
      <c r="H31">
        <v>21.85</v>
      </c>
      <c r="I31">
        <v>16.98</v>
      </c>
      <c r="J31">
        <v>15.19</v>
      </c>
      <c r="K31">
        <v>14.13</v>
      </c>
      <c r="L31">
        <v>68.2</v>
      </c>
      <c r="M31">
        <v>68.099999999999994</v>
      </c>
    </row>
    <row r="32" spans="1:16">
      <c r="A32" t="s">
        <v>134</v>
      </c>
      <c r="B32" t="s">
        <v>75</v>
      </c>
      <c r="C32" t="s">
        <v>135</v>
      </c>
      <c r="D32">
        <v>47</v>
      </c>
      <c r="E32" s="8">
        <f t="shared" si="0"/>
        <v>39.156857539275734</v>
      </c>
      <c r="F32">
        <v>28</v>
      </c>
      <c r="G32">
        <v>260</v>
      </c>
      <c r="H32">
        <v>20.010000000000002</v>
      </c>
      <c r="I32">
        <v>-8.09</v>
      </c>
      <c r="J32">
        <v>-1.1499999999999999</v>
      </c>
      <c r="K32">
        <v>-0.11</v>
      </c>
      <c r="L32">
        <v>66.5</v>
      </c>
      <c r="M32">
        <v>69</v>
      </c>
    </row>
    <row r="33" spans="1:13" s="6" customFormat="1" hidden="1">
      <c r="A33" s="6" t="s">
        <v>134</v>
      </c>
      <c r="B33" s="6" t="s">
        <v>75</v>
      </c>
      <c r="C33" s="6" t="s">
        <v>135</v>
      </c>
      <c r="D33" s="6">
        <v>47</v>
      </c>
      <c r="E33" s="8">
        <f t="shared" si="0"/>
        <v>39.156857539275734</v>
      </c>
      <c r="F33" s="6">
        <v>28</v>
      </c>
      <c r="G33" s="6">
        <v>260</v>
      </c>
      <c r="H33" s="6">
        <v>20.010000000000002</v>
      </c>
      <c r="I33" s="6">
        <v>-8.09</v>
      </c>
      <c r="J33" s="6">
        <v>-1.1499999999999999</v>
      </c>
      <c r="K33" s="6">
        <v>-0.11</v>
      </c>
      <c r="L33" s="6">
        <v>66.5</v>
      </c>
      <c r="M33" s="6">
        <v>69</v>
      </c>
    </row>
    <row r="34" spans="1:13">
      <c r="A34" t="s">
        <v>136</v>
      </c>
      <c r="B34" t="s">
        <v>75</v>
      </c>
      <c r="C34" t="s">
        <v>49</v>
      </c>
      <c r="D34">
        <v>23</v>
      </c>
      <c r="E34" s="8">
        <f t="shared" si="0"/>
        <v>19.910014935493162</v>
      </c>
      <c r="F34">
        <v>28</v>
      </c>
      <c r="G34">
        <v>93</v>
      </c>
      <c r="H34">
        <v>20.010000000000002</v>
      </c>
      <c r="I34">
        <v>8.11</v>
      </c>
      <c r="J34">
        <v>-1.1499999999999999</v>
      </c>
      <c r="K34">
        <v>-0.54</v>
      </c>
      <c r="L34">
        <v>71</v>
      </c>
      <c r="M34">
        <v>69</v>
      </c>
    </row>
    <row r="35" spans="1:13" s="6" customFormat="1" hidden="1">
      <c r="A35" s="6" t="s">
        <v>136</v>
      </c>
      <c r="B35" s="6" t="s">
        <v>75</v>
      </c>
      <c r="C35" s="6" t="s">
        <v>49</v>
      </c>
      <c r="D35" s="6">
        <v>23</v>
      </c>
      <c r="E35" s="8">
        <f t="shared" si="0"/>
        <v>19.910014935493162</v>
      </c>
      <c r="F35" s="6">
        <v>28</v>
      </c>
      <c r="G35" s="6">
        <v>93</v>
      </c>
      <c r="H35" s="6">
        <v>20.010000000000002</v>
      </c>
      <c r="I35" s="6">
        <v>8.11</v>
      </c>
      <c r="J35" s="6">
        <v>-1.1499999999999999</v>
      </c>
      <c r="K35" s="6">
        <v>-0.54</v>
      </c>
      <c r="L35" s="6">
        <v>71</v>
      </c>
      <c r="M35" s="6">
        <v>69</v>
      </c>
    </row>
    <row r="36" spans="1:13">
      <c r="A36" t="s">
        <v>134</v>
      </c>
      <c r="B36" t="s">
        <v>75</v>
      </c>
      <c r="C36" t="s">
        <v>137</v>
      </c>
      <c r="D36">
        <v>31</v>
      </c>
      <c r="E36" s="8">
        <f t="shared" si="0"/>
        <v>26.513124040379662</v>
      </c>
      <c r="F36">
        <v>28</v>
      </c>
      <c r="G36">
        <v>231</v>
      </c>
      <c r="H36">
        <v>20.010000000000002</v>
      </c>
      <c r="I36">
        <v>-5.94</v>
      </c>
      <c r="J36">
        <v>-1.1499999999999999</v>
      </c>
      <c r="K36">
        <v>5.93</v>
      </c>
      <c r="L36">
        <v>70.900000000000006</v>
      </c>
      <c r="M36">
        <v>69</v>
      </c>
    </row>
    <row r="37" spans="1:13" s="6" customFormat="1" hidden="1">
      <c r="A37" s="6" t="s">
        <v>134</v>
      </c>
      <c r="B37" s="6" t="s">
        <v>75</v>
      </c>
      <c r="C37" s="6" t="s">
        <v>137</v>
      </c>
      <c r="D37" s="6">
        <v>31</v>
      </c>
      <c r="E37" s="8">
        <f t="shared" si="0"/>
        <v>26.513124040379662</v>
      </c>
      <c r="F37" s="6">
        <v>28</v>
      </c>
      <c r="G37" s="6">
        <v>231</v>
      </c>
      <c r="H37" s="6">
        <v>20.010000000000002</v>
      </c>
      <c r="I37" s="6">
        <v>-5.94</v>
      </c>
      <c r="J37" s="6">
        <v>-1.1499999999999999</v>
      </c>
      <c r="K37" s="6">
        <v>5.93</v>
      </c>
      <c r="L37" s="6">
        <v>70.900000000000006</v>
      </c>
      <c r="M37" s="6">
        <v>69</v>
      </c>
    </row>
    <row r="38" spans="1:13">
      <c r="A38" t="s">
        <v>134</v>
      </c>
      <c r="B38" t="s">
        <v>75</v>
      </c>
      <c r="C38" t="s">
        <v>138</v>
      </c>
      <c r="D38">
        <v>8</v>
      </c>
      <c r="E38" s="8">
        <f t="shared" si="0"/>
        <v>31.847095757803029</v>
      </c>
      <c r="F38">
        <v>28</v>
      </c>
      <c r="G38">
        <v>194</v>
      </c>
      <c r="H38">
        <v>20.010000000000002</v>
      </c>
      <c r="I38">
        <v>-3.14</v>
      </c>
      <c r="J38">
        <v>-1.1499999999999999</v>
      </c>
      <c r="K38">
        <v>7.24</v>
      </c>
      <c r="L38">
        <v>66.2</v>
      </c>
      <c r="M38">
        <v>69</v>
      </c>
    </row>
    <row r="39" spans="1:13" s="6" customFormat="1" hidden="1">
      <c r="A39" s="6" t="s">
        <v>134</v>
      </c>
      <c r="B39" s="6" t="s">
        <v>75</v>
      </c>
      <c r="C39" s="6" t="s">
        <v>138</v>
      </c>
      <c r="D39" s="6">
        <v>8</v>
      </c>
      <c r="E39" s="8">
        <f t="shared" si="0"/>
        <v>31.847095757803029</v>
      </c>
      <c r="F39" s="6">
        <v>28</v>
      </c>
      <c r="G39" s="6">
        <v>194</v>
      </c>
      <c r="H39" s="6">
        <v>20.010000000000002</v>
      </c>
      <c r="I39" s="6">
        <v>-3.14</v>
      </c>
      <c r="J39" s="6">
        <v>-1.1499999999999999</v>
      </c>
      <c r="K39" s="6">
        <v>7.24</v>
      </c>
      <c r="L39" s="6">
        <v>66.2</v>
      </c>
      <c r="M39" s="6">
        <v>69</v>
      </c>
    </row>
    <row r="40" spans="1:13">
      <c r="A40" t="s">
        <v>134</v>
      </c>
      <c r="B40" t="s">
        <v>75</v>
      </c>
      <c r="C40" t="s">
        <v>139</v>
      </c>
      <c r="D40">
        <v>20</v>
      </c>
      <c r="E40" s="8">
        <f t="shared" si="0"/>
        <v>27.75878713315063</v>
      </c>
      <c r="F40">
        <v>28</v>
      </c>
      <c r="G40">
        <v>248</v>
      </c>
      <c r="H40">
        <v>20.010000000000002</v>
      </c>
      <c r="I40">
        <v>-7.23</v>
      </c>
      <c r="J40">
        <v>-1.1499999999999999</v>
      </c>
      <c r="K40">
        <v>0.38</v>
      </c>
      <c r="L40">
        <v>72.3</v>
      </c>
      <c r="M40">
        <v>69</v>
      </c>
    </row>
    <row r="41" spans="1:13" s="6" customFormat="1" hidden="1">
      <c r="A41" s="6" t="s">
        <v>134</v>
      </c>
      <c r="B41" s="6" t="s">
        <v>75</v>
      </c>
      <c r="C41" s="6" t="s">
        <v>139</v>
      </c>
      <c r="D41" s="6">
        <v>20</v>
      </c>
      <c r="E41" s="8">
        <f t="shared" si="0"/>
        <v>27.75878713315063</v>
      </c>
      <c r="F41" s="6">
        <v>28</v>
      </c>
      <c r="G41" s="6">
        <v>248</v>
      </c>
      <c r="H41" s="6">
        <v>20.010000000000002</v>
      </c>
      <c r="I41" s="6">
        <v>-7.23</v>
      </c>
      <c r="J41" s="6">
        <v>-1.1499999999999999</v>
      </c>
      <c r="K41" s="6">
        <v>0.38</v>
      </c>
      <c r="L41" s="6">
        <v>72.3</v>
      </c>
      <c r="M41" s="6">
        <v>69</v>
      </c>
    </row>
    <row r="42" spans="1:13">
      <c r="A42" t="s">
        <v>134</v>
      </c>
      <c r="B42" t="s">
        <v>75</v>
      </c>
      <c r="C42" t="s">
        <v>140</v>
      </c>
      <c r="D42">
        <v>17</v>
      </c>
      <c r="E42" s="8">
        <f t="shared" si="0"/>
        <v>12.863956480505006</v>
      </c>
      <c r="F42">
        <v>28</v>
      </c>
      <c r="G42">
        <v>82</v>
      </c>
      <c r="H42">
        <v>20.010000000000002</v>
      </c>
      <c r="I42">
        <v>10.07</v>
      </c>
      <c r="J42">
        <v>-1.1499999999999999</v>
      </c>
      <c r="K42">
        <v>5.42</v>
      </c>
      <c r="L42">
        <v>72.900000000000006</v>
      </c>
      <c r="M42">
        <v>69</v>
      </c>
    </row>
    <row r="43" spans="1:13" s="6" customFormat="1" hidden="1">
      <c r="A43" s="6" t="s">
        <v>134</v>
      </c>
      <c r="B43" s="6" t="s">
        <v>75</v>
      </c>
      <c r="C43" s="6" t="s">
        <v>140</v>
      </c>
      <c r="D43" s="6">
        <v>17</v>
      </c>
      <c r="E43" s="8">
        <f t="shared" si="0"/>
        <v>12.863956480505006</v>
      </c>
      <c r="F43" s="6">
        <v>28</v>
      </c>
      <c r="G43" s="6">
        <v>82</v>
      </c>
      <c r="H43" s="6">
        <v>20.010000000000002</v>
      </c>
      <c r="I43" s="6">
        <v>10.07</v>
      </c>
      <c r="J43" s="6">
        <v>-1.1499999999999999</v>
      </c>
      <c r="K43" s="6">
        <v>5.42</v>
      </c>
      <c r="L43" s="6">
        <v>72.900000000000006</v>
      </c>
      <c r="M43" s="6">
        <v>69</v>
      </c>
    </row>
    <row r="44" spans="1:13">
      <c r="A44" t="s">
        <v>134</v>
      </c>
      <c r="B44" t="s">
        <v>75</v>
      </c>
      <c r="C44" t="s">
        <v>141</v>
      </c>
      <c r="D44">
        <v>44</v>
      </c>
      <c r="E44" s="8">
        <f t="shared" si="0"/>
        <v>32.770842520040233</v>
      </c>
      <c r="F44">
        <v>28</v>
      </c>
      <c r="G44">
        <v>225</v>
      </c>
      <c r="H44">
        <v>20.010000000000002</v>
      </c>
      <c r="I44">
        <v>-5.71</v>
      </c>
      <c r="J44">
        <v>-1.1499999999999999</v>
      </c>
      <c r="K44">
        <v>7.03</v>
      </c>
      <c r="L44">
        <v>66.900000000000006</v>
      </c>
      <c r="M44">
        <v>69</v>
      </c>
    </row>
    <row r="45" spans="1:13" s="6" customFormat="1" hidden="1">
      <c r="A45" s="6" t="s">
        <v>134</v>
      </c>
      <c r="B45" s="6" t="s">
        <v>75</v>
      </c>
      <c r="C45" s="6" t="s">
        <v>141</v>
      </c>
      <c r="D45" s="6">
        <v>44</v>
      </c>
      <c r="E45" s="8">
        <f t="shared" si="0"/>
        <v>32.770842520040233</v>
      </c>
      <c r="F45" s="6">
        <v>28</v>
      </c>
      <c r="G45" s="6">
        <v>225</v>
      </c>
      <c r="H45" s="6">
        <v>20.010000000000002</v>
      </c>
      <c r="I45" s="6">
        <v>-5.71</v>
      </c>
      <c r="J45" s="6">
        <v>-1.1499999999999999</v>
      </c>
      <c r="K45" s="6">
        <v>7.03</v>
      </c>
      <c r="L45" s="6">
        <v>66.900000000000006</v>
      </c>
      <c r="M45" s="6">
        <v>69</v>
      </c>
    </row>
    <row r="46" spans="1:13">
      <c r="A46" t="s">
        <v>142</v>
      </c>
      <c r="B46" t="s">
        <v>64</v>
      </c>
      <c r="C46" t="s">
        <v>75</v>
      </c>
      <c r="D46">
        <v>9</v>
      </c>
      <c r="E46" s="8">
        <f t="shared" si="0"/>
        <v>2.6867183949477198</v>
      </c>
      <c r="F46">
        <v>112</v>
      </c>
      <c r="G46">
        <v>28</v>
      </c>
      <c r="H46">
        <v>6.18</v>
      </c>
      <c r="I46">
        <v>20.010000000000002</v>
      </c>
      <c r="J46">
        <v>-1.89</v>
      </c>
      <c r="K46">
        <v>-1.1499999999999999</v>
      </c>
      <c r="L46">
        <v>69</v>
      </c>
      <c r="M46">
        <v>64.3</v>
      </c>
    </row>
    <row r="47" spans="1:13" s="6" customFormat="1" hidden="1">
      <c r="A47" s="6" t="s">
        <v>142</v>
      </c>
      <c r="B47" s="6" t="s">
        <v>64</v>
      </c>
      <c r="C47" s="6" t="s">
        <v>75</v>
      </c>
      <c r="D47" s="6">
        <v>9</v>
      </c>
      <c r="E47" s="8">
        <f t="shared" si="0"/>
        <v>2.6867183949477198</v>
      </c>
      <c r="F47" s="6">
        <v>112</v>
      </c>
      <c r="G47" s="6">
        <v>28</v>
      </c>
      <c r="H47" s="6">
        <v>6.18</v>
      </c>
      <c r="I47" s="6">
        <v>20.010000000000002</v>
      </c>
      <c r="J47" s="6">
        <v>-1.89</v>
      </c>
      <c r="K47" s="6">
        <v>-1.1499999999999999</v>
      </c>
      <c r="L47" s="6">
        <v>69</v>
      </c>
      <c r="M47" s="6">
        <v>64.3</v>
      </c>
    </row>
    <row r="48" spans="1:13">
      <c r="A48" t="s">
        <v>143</v>
      </c>
      <c r="B48" t="s">
        <v>117</v>
      </c>
      <c r="C48" t="s">
        <v>75</v>
      </c>
      <c r="D48">
        <v>9</v>
      </c>
      <c r="E48" s="8">
        <f t="shared" si="0"/>
        <v>18.346481234263489</v>
      </c>
      <c r="F48">
        <v>14</v>
      </c>
      <c r="G48">
        <v>28</v>
      </c>
      <c r="H48">
        <v>26.54</v>
      </c>
      <c r="I48">
        <v>20.010000000000002</v>
      </c>
      <c r="J48">
        <v>-0.79</v>
      </c>
      <c r="K48">
        <v>-1.1499999999999999</v>
      </c>
      <c r="L48">
        <v>69</v>
      </c>
      <c r="M48">
        <v>71.8</v>
      </c>
    </row>
    <row r="49" spans="1:13" s="6" customFormat="1" hidden="1">
      <c r="A49" s="6" t="s">
        <v>143</v>
      </c>
      <c r="B49" s="6" t="s">
        <v>117</v>
      </c>
      <c r="C49" s="6" t="s">
        <v>75</v>
      </c>
      <c r="D49" s="6">
        <v>9</v>
      </c>
      <c r="F49" s="6">
        <v>14</v>
      </c>
      <c r="G49" s="6">
        <v>28</v>
      </c>
      <c r="H49" s="6">
        <v>26.54</v>
      </c>
      <c r="I49" s="6">
        <v>20.010000000000002</v>
      </c>
      <c r="J49" s="6">
        <v>-0.79</v>
      </c>
      <c r="K49" s="6">
        <v>-1.1499999999999999</v>
      </c>
      <c r="L49" s="6">
        <v>69</v>
      </c>
      <c r="M49" s="6">
        <v>71.8</v>
      </c>
    </row>
    <row r="50" spans="1:13">
      <c r="A50" t="s">
        <v>134</v>
      </c>
      <c r="B50" t="s">
        <v>75</v>
      </c>
      <c r="C50" t="s">
        <v>55</v>
      </c>
    </row>
    <row r="51" spans="1:13">
      <c r="A51" t="s">
        <v>147</v>
      </c>
      <c r="B51" t="s">
        <v>148</v>
      </c>
      <c r="C51" t="s">
        <v>75</v>
      </c>
    </row>
    <row r="52" spans="1:13">
      <c r="A52" t="s">
        <v>134</v>
      </c>
      <c r="B52" t="s">
        <v>75</v>
      </c>
      <c r="C52" t="s">
        <v>149</v>
      </c>
    </row>
    <row r="53" spans="1:13">
      <c r="A53" t="s">
        <v>134</v>
      </c>
      <c r="B53" t="s">
        <v>75</v>
      </c>
      <c r="C53" t="s">
        <v>150</v>
      </c>
    </row>
    <row r="54" spans="1:13">
      <c r="A54" t="s">
        <v>134</v>
      </c>
      <c r="B54" t="s">
        <v>75</v>
      </c>
      <c r="C54" t="s">
        <v>70</v>
      </c>
    </row>
    <row r="55" spans="1:13">
      <c r="A55" t="s">
        <v>151</v>
      </c>
      <c r="B55" t="s">
        <v>56</v>
      </c>
      <c r="C55" t="s">
        <v>75</v>
      </c>
    </row>
    <row r="56" spans="1:13">
      <c r="A56" t="s">
        <v>134</v>
      </c>
      <c r="B56" t="s">
        <v>75</v>
      </c>
      <c r="C56" t="s">
        <v>68</v>
      </c>
    </row>
    <row r="57" spans="1:13">
      <c r="A57" t="s">
        <v>152</v>
      </c>
      <c r="B57" t="s">
        <v>82</v>
      </c>
      <c r="C57" t="s">
        <v>75</v>
      </c>
    </row>
    <row r="58" spans="1:13">
      <c r="A58" t="s">
        <v>134</v>
      </c>
      <c r="B58" t="s">
        <v>75</v>
      </c>
      <c r="C58" t="s">
        <v>77</v>
      </c>
    </row>
    <row r="59" spans="1:13">
      <c r="A59" t="s">
        <v>153</v>
      </c>
      <c r="B59" t="s">
        <v>74</v>
      </c>
      <c r="C59" t="s">
        <v>75</v>
      </c>
    </row>
    <row r="60" spans="1:13">
      <c r="A60" t="s">
        <v>97</v>
      </c>
      <c r="B60" t="s">
        <v>67</v>
      </c>
      <c r="C60" t="s">
        <v>75</v>
      </c>
    </row>
    <row r="61" spans="1:13">
      <c r="A61" t="s">
        <v>134</v>
      </c>
      <c r="B61" t="s">
        <v>75</v>
      </c>
      <c r="C61" t="s">
        <v>44</v>
      </c>
    </row>
    <row r="62" spans="1:13">
      <c r="A62" t="s">
        <v>154</v>
      </c>
      <c r="B62" t="s">
        <v>84</v>
      </c>
      <c r="C62" t="s">
        <v>75</v>
      </c>
    </row>
    <row r="63" spans="1:13">
      <c r="A63" t="s">
        <v>154</v>
      </c>
      <c r="B63" t="s">
        <v>78</v>
      </c>
      <c r="C63" t="s">
        <v>75</v>
      </c>
    </row>
    <row r="64" spans="1:13">
      <c r="A64" t="s">
        <v>134</v>
      </c>
      <c r="B64" t="s">
        <v>75</v>
      </c>
      <c r="C64" t="s">
        <v>80</v>
      </c>
    </row>
    <row r="65" spans="1:3">
      <c r="A65" t="s">
        <v>134</v>
      </c>
      <c r="B65" t="s">
        <v>75</v>
      </c>
      <c r="C65" t="s">
        <v>72</v>
      </c>
    </row>
    <row r="66" spans="1:3">
      <c r="A66" t="s">
        <v>155</v>
      </c>
      <c r="B66" t="s">
        <v>86</v>
      </c>
      <c r="C66" t="s">
        <v>75</v>
      </c>
    </row>
    <row r="67" spans="1:3">
      <c r="A67" t="s">
        <v>89</v>
      </c>
      <c r="B67" t="s">
        <v>44</v>
      </c>
      <c r="C67" t="s">
        <v>75</v>
      </c>
    </row>
    <row r="68" spans="1:3">
      <c r="A68" t="s">
        <v>134</v>
      </c>
      <c r="B68" t="s">
        <v>75</v>
      </c>
      <c r="C68" t="s">
        <v>65</v>
      </c>
    </row>
    <row r="69" spans="1:3">
      <c r="A69" t="s">
        <v>134</v>
      </c>
      <c r="B69" t="s">
        <v>75</v>
      </c>
      <c r="C69" t="s">
        <v>82</v>
      </c>
    </row>
    <row r="70" spans="1:3">
      <c r="A70" t="s">
        <v>134</v>
      </c>
      <c r="B70" t="s">
        <v>75</v>
      </c>
      <c r="C70" t="s">
        <v>64</v>
      </c>
    </row>
    <row r="71" spans="1:3">
      <c r="A71" t="s">
        <v>156</v>
      </c>
      <c r="B71" t="s">
        <v>73</v>
      </c>
      <c r="C7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Brown</dc:creator>
  <cp:keywords/>
  <dc:description/>
  <cp:lastModifiedBy>Sam Brown</cp:lastModifiedBy>
  <cp:revision/>
  <dcterms:created xsi:type="dcterms:W3CDTF">2025-12-06T03:55:44Z</dcterms:created>
  <dcterms:modified xsi:type="dcterms:W3CDTF">2025-12-09T01:08:30Z</dcterms:modified>
  <cp:category/>
  <cp:contentStatus/>
</cp:coreProperties>
</file>